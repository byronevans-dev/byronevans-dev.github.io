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V:\"/>
    </mc:Choice>
  </mc:AlternateContent>
  <xr:revisionPtr revIDLastSave="0" documentId="13_ncr:1_{1D3A0859-F253-4224-8AE1-893EEC46BD5C}" xr6:coauthVersionLast="47" xr6:coauthVersionMax="47" xr10:uidLastSave="{00000000-0000-0000-0000-000000000000}"/>
  <bookViews>
    <workbookView xWindow="-120" yWindow="-120" windowWidth="38640" windowHeight="21120" firstSheet="29" activeTab="41" xr2:uid="{00000000-000D-0000-FFFF-FFFF00000000}"/>
  </bookViews>
  <sheets>
    <sheet name="Overview" sheetId="1" r:id="rId1"/>
    <sheet name="1960" sheetId="2" r:id="rId2"/>
    <sheet name="1961" sheetId="3" r:id="rId3"/>
    <sheet name="1962" sheetId="4" r:id="rId4"/>
    <sheet name="1963" sheetId="5" r:id="rId5"/>
    <sheet name="1964" sheetId="6" r:id="rId6"/>
    <sheet name="1965" sheetId="7" r:id="rId7"/>
    <sheet name="1966" sheetId="8" r:id="rId8"/>
    <sheet name="1967" sheetId="9" r:id="rId9"/>
    <sheet name="1968" sheetId="10" r:id="rId10"/>
    <sheet name="1969" sheetId="11" r:id="rId11"/>
    <sheet name="1970" sheetId="12" r:id="rId12"/>
    <sheet name="1971" sheetId="13" r:id="rId13"/>
    <sheet name="1972" sheetId="14" r:id="rId14"/>
    <sheet name="1973" sheetId="15" r:id="rId15"/>
    <sheet name="1974" sheetId="16" r:id="rId16"/>
    <sheet name="1975" sheetId="17" r:id="rId17"/>
    <sheet name="1976" sheetId="18" r:id="rId18"/>
    <sheet name="1977" sheetId="19" r:id="rId19"/>
    <sheet name="1978" sheetId="20" r:id="rId20"/>
    <sheet name="1979" sheetId="21" r:id="rId21"/>
    <sheet name="1980" sheetId="22" r:id="rId22"/>
    <sheet name="1981" sheetId="23" r:id="rId23"/>
    <sheet name="1982" sheetId="24" r:id="rId24"/>
    <sheet name="1983" sheetId="25" r:id="rId25"/>
    <sheet name="1984" sheetId="26" r:id="rId26"/>
    <sheet name="1985" sheetId="27" r:id="rId27"/>
    <sheet name="1986" sheetId="28" r:id="rId28"/>
    <sheet name="1987" sheetId="29" r:id="rId29"/>
    <sheet name="1988" sheetId="30" r:id="rId30"/>
    <sheet name="1989" sheetId="31" r:id="rId31"/>
    <sheet name="1990" sheetId="32" r:id="rId32"/>
    <sheet name="1991" sheetId="33" r:id="rId33"/>
    <sheet name="1992" sheetId="34" r:id="rId34"/>
    <sheet name="1993" sheetId="35" r:id="rId35"/>
    <sheet name="1994" sheetId="36" r:id="rId36"/>
    <sheet name="1995" sheetId="37" r:id="rId37"/>
    <sheet name="1996" sheetId="38" r:id="rId38"/>
    <sheet name="1997" sheetId="39" r:id="rId39"/>
    <sheet name="1998" sheetId="40" r:id="rId40"/>
    <sheet name="1999" sheetId="41" r:id="rId41"/>
    <sheet name="Pre-1960" sheetId="52" r:id="rId42"/>
    <sheet name="GUIDE" sheetId="55" r:id="rId4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52" l="1"/>
  <c r="D34" i="41"/>
  <c r="D38" i="40"/>
  <c r="D49" i="39"/>
  <c r="D57" i="38"/>
  <c r="D68" i="37"/>
  <c r="D62" i="36"/>
  <c r="D48" i="35"/>
  <c r="D51" i="34"/>
  <c r="D49" i="33"/>
  <c r="D53" i="32"/>
  <c r="D51" i="31"/>
  <c r="D60" i="30"/>
  <c r="D92" i="29"/>
  <c r="D87" i="28"/>
  <c r="D101" i="27"/>
  <c r="D72" i="26"/>
  <c r="D77" i="25"/>
  <c r="D87" i="24"/>
  <c r="D93" i="23"/>
  <c r="D66" i="22"/>
  <c r="D57" i="21"/>
  <c r="D71" i="20"/>
  <c r="D58" i="19"/>
  <c r="D66" i="18"/>
  <c r="D56" i="17"/>
  <c r="D69" i="16"/>
  <c r="D80" i="15"/>
  <c r="D75" i="14"/>
  <c r="D77" i="13"/>
  <c r="D67" i="12"/>
  <c r="D17" i="11"/>
  <c r="D26" i="10"/>
  <c r="D19" i="9"/>
  <c r="D21" i="8"/>
  <c r="D16" i="7"/>
  <c r="D19" i="6"/>
  <c r="D14" i="5"/>
  <c r="D12" i="4"/>
  <c r="D11" i="3"/>
  <c r="D14" i="2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E45" i="1" s="1"/>
  <c r="D5" i="1"/>
  <c r="D45" i="1" s="1"/>
  <c r="C5" i="1"/>
  <c r="C45" i="1" s="1"/>
  <c r="B5" i="1"/>
  <c r="B45" i="1" s="1"/>
  <c r="G1" i="1"/>
  <c r="F1" i="1"/>
</calcChain>
</file>

<file path=xl/sharedStrings.xml><?xml version="1.0" encoding="utf-8"?>
<sst xmlns="http://schemas.openxmlformats.org/spreadsheetml/2006/main" count="13545" uniqueCount="4179">
  <si>
    <t>Cult &amp; Forgotten Cinema Preservation Master Index</t>
  </si>
  <si>
    <t>Pre-1960 foundations + 1960–1999 · 2.062 preservation leads</t>
  </si>
  <si>
    <t>Tracker v2</t>
  </si>
  <si>
    <t>Status</t>
  </si>
  <si>
    <t>☐ / ☑</t>
  </si>
  <si>
    <t>Year</t>
  </si>
  <si>
    <t>Titles</t>
  </si>
  <si>
    <t>A priority</t>
  </si>
  <si>
    <t>B priority</t>
  </si>
  <si>
    <t>C priority</t>
  </si>
  <si>
    <t>Notes</t>
  </si>
  <si>
    <t>Per jaar</t>
  </si>
  <si>
    <t>live counter onderaan</t>
  </si>
  <si>
    <t>Genre</t>
  </si>
  <si>
    <t>vervangt oude tags</t>
  </si>
  <si>
    <t>Titelnotitie</t>
  </si>
  <si>
    <t>klik/hover op titel</t>
  </si>
  <si>
    <t>Genre expansion v3</t>
  </si>
  <si>
    <t>Focus</t>
  </si>
  <si>
    <t>Music / Dance / Disco / Rock / Pop</t>
  </si>
  <si>
    <t>Nieuwe titels</t>
  </si>
  <si>
    <t>Dubbele titels overgeslagen</t>
  </si>
  <si>
    <t>Research anchors</t>
  </si>
  <si>
    <t>BFI / TCM</t>
  </si>
  <si>
    <t>Voorbeelden</t>
  </si>
  <si>
    <t>Grease · Saturday Night Fever · Fame · Flashdance</t>
  </si>
  <si>
    <t>Expansion v4</t>
  </si>
  <si>
    <t>New focus</t>
  </si>
  <si>
    <t>Teen / High-Concept</t>
  </si>
  <si>
    <t>Spoof / Slapstick</t>
  </si>
  <si>
    <t>Blaxploitation / Black Cult</t>
  </si>
  <si>
    <t>Core tags</t>
  </si>
  <si>
    <t>Teen Sci-Fi Comedy</t>
  </si>
  <si>
    <t>Spoof / Parody</t>
  </si>
  <si>
    <t>Blaxploitation</t>
  </si>
  <si>
    <t>Body-Swap Comedy</t>
  </si>
  <si>
    <t>Broad Comedy</t>
  </si>
  <si>
    <t>Black Comedy</t>
  </si>
  <si>
    <t>Fantasy Comedy</t>
  </si>
  <si>
    <t>Road / Buddy Comedy</t>
  </si>
  <si>
    <t>Black Cinema</t>
  </si>
  <si>
    <t>Geek / Nerd Comedy</t>
  </si>
  <si>
    <t>Dark Comedy</t>
  </si>
  <si>
    <t>Black Horror</t>
  </si>
  <si>
    <t>Youth Adventure</t>
  </si>
  <si>
    <t>Institution Comedy</t>
  </si>
  <si>
    <t>Black Music / Cult</t>
  </si>
  <si>
    <t>New films</t>
  </si>
  <si>
    <t>Already present</t>
  </si>
  <si>
    <t>Research anchor</t>
  </si>
  <si>
    <t>BFI comedy</t>
  </si>
  <si>
    <t>BFI blaxploitation</t>
  </si>
  <si>
    <t>Examples</t>
  </si>
  <si>
    <t>Weird Science</t>
  </si>
  <si>
    <t>Airplane!</t>
  </si>
  <si>
    <t>Shaft</t>
  </si>
  <si>
    <t>Real Genius</t>
  </si>
  <si>
    <t>The Naked Gun</t>
  </si>
  <si>
    <t>Coffy</t>
  </si>
  <si>
    <t>Teen Witch</t>
  </si>
  <si>
    <t>Police Academy</t>
  </si>
  <si>
    <t>I'm Gonna Git You Sucka</t>
  </si>
  <si>
    <t>Expansion v5</t>
  </si>
  <si>
    <t>Post-Apocalyptic</t>
  </si>
  <si>
    <t>Road Warrior / Mad Max clones</t>
  </si>
  <si>
    <t>Wasteland / Dystopian DTV</t>
  </si>
  <si>
    <t>Existing reviewed</t>
  </si>
  <si>
    <t>Core cycle</t>
  </si>
  <si>
    <t>Italian post-nuke</t>
  </si>
  <si>
    <t>Philippine wasteland</t>
  </si>
  <si>
    <t>80s/90s DTV</t>
  </si>
  <si>
    <t>Adjacent</t>
  </si>
  <si>
    <t>Arthouse nuclear aftermath</t>
  </si>
  <si>
    <t>Cyberpunk wasteland</t>
  </si>
  <si>
    <t>Youth / road dystopia</t>
  </si>
  <si>
    <t>Anchors</t>
  </si>
  <si>
    <t>Mad Max</t>
  </si>
  <si>
    <t>The Road Warrior</t>
  </si>
  <si>
    <t>Escape from New York</t>
  </si>
  <si>
    <t>Cult examples</t>
  </si>
  <si>
    <t>2019: After the Fall of New York</t>
  </si>
  <si>
    <t>Wheels of Fire</t>
  </si>
  <si>
    <t>Neon City</t>
  </si>
  <si>
    <t>The New Barbarians</t>
  </si>
  <si>
    <t>Equalizer 2000</t>
  </si>
  <si>
    <t>Six-String Samurai</t>
  </si>
  <si>
    <t>Research</t>
  </si>
  <si>
    <t>Mondo Digital / title-specific references</t>
  </si>
  <si>
    <t>Source sheet</t>
  </si>
  <si>
    <t>Post-Apoc Sources</t>
  </si>
  <si>
    <t>Priority rule</t>
  </si>
  <si>
    <t>A = hunt/preserve</t>
  </si>
  <si>
    <t>B = strong candidate</t>
  </si>
  <si>
    <t>C = mainstream reminder</t>
  </si>
  <si>
    <t>Expansion v6</t>
  </si>
  <si>
    <t>TOTAL</t>
  </si>
  <si>
    <t>Ozploitation 1971–1989</t>
  </si>
  <si>
    <t>Cult-first</t>
  </si>
  <si>
    <t>No automatic A for obscurity</t>
  </si>
  <si>
    <t>Added</t>
  </si>
  <si>
    <t>Existing reclassified</t>
  </si>
  <si>
    <t>A means</t>
  </si>
  <si>
    <t>Real cult / key cycle film</t>
  </si>
  <si>
    <t>B means</t>
  </si>
  <si>
    <t>Historical/strong preservation</t>
  </si>
  <si>
    <t>C means</t>
  </si>
  <si>
    <t>Mainstream reminder/anchor</t>
  </si>
  <si>
    <t>Core</t>
  </si>
  <si>
    <t>Stone</t>
  </si>
  <si>
    <t>The Man from Hong Kong</t>
  </si>
  <si>
    <t>Long Weekend</t>
  </si>
  <si>
    <t>Patrick</t>
  </si>
  <si>
    <t>Thirst</t>
  </si>
  <si>
    <t>Roadgames</t>
  </si>
  <si>
    <t>Next of Kin</t>
  </si>
  <si>
    <t>Razorback</t>
  </si>
  <si>
    <t>Dead-End Drive-In</t>
  </si>
  <si>
    <t>Adjacent arthouse</t>
  </si>
  <si>
    <t>Wake in Fright</t>
  </si>
  <si>
    <t>Picnic at Hanging Rock</t>
  </si>
  <si>
    <t>The Last Wave</t>
  </si>
  <si>
    <t>BFI + NFSA</t>
  </si>
  <si>
    <t>Ozploitation Sources</t>
  </si>
  <si>
    <t>Expansion v7</t>
  </si>
  <si>
    <t>Surreal / Liminal</t>
  </si>
  <si>
    <t>Artificial Worlds</t>
  </si>
  <si>
    <t>Dream Logic</t>
  </si>
  <si>
    <t>Rule</t>
  </si>
  <si>
    <t>Cult/arthouse/oddity first</t>
  </si>
  <si>
    <t>Not a historical genre label</t>
  </si>
  <si>
    <t>Modern preservation tag</t>
  </si>
  <si>
    <t>Toys</t>
  </si>
  <si>
    <t>Brazil</t>
  </si>
  <si>
    <t>Cube</t>
  </si>
  <si>
    <t>Barton Fink</t>
  </si>
  <si>
    <t>Paperhouse</t>
  </si>
  <si>
    <t>Dark City</t>
  </si>
  <si>
    <t>Meet the Hollowheads</t>
  </si>
  <si>
    <t>Motorama</t>
  </si>
  <si>
    <t>Institute Benjamenta</t>
  </si>
  <si>
    <t>Sub-tags</t>
  </si>
  <si>
    <t>Artificial World</t>
  </si>
  <si>
    <t>Institutional Liminal</t>
  </si>
  <si>
    <t>Suburban Uncanny</t>
  </si>
  <si>
    <t>Surreal Architecture</t>
  </si>
  <si>
    <t>Corporate Nightmare</t>
  </si>
  <si>
    <t>BFI / Criterion</t>
  </si>
  <si>
    <t>Surreal Liminal Sources</t>
  </si>
  <si>
    <t>Expansion v8</t>
  </si>
  <si>
    <t>Weird Children's</t>
  </si>
  <si>
    <t>Dark Family Cinema</t>
  </si>
  <si>
    <t>Uncanny Childhood</t>
  </si>
  <si>
    <t>Cult / oddity first</t>
  </si>
  <si>
    <t>Dark ≠ automatically horror</t>
  </si>
  <si>
    <t>Family/childhood lens matters</t>
  </si>
  <si>
    <t>Return to Oz</t>
  </si>
  <si>
    <t>The Peanut Butter Solution</t>
  </si>
  <si>
    <t>The Watcher in the Woods</t>
  </si>
  <si>
    <t>The Secret of NIMH</t>
  </si>
  <si>
    <t>The Gate</t>
  </si>
  <si>
    <t>The Witches</t>
  </si>
  <si>
    <t>The Brave Little Toaster</t>
  </si>
  <si>
    <t>Lady in White</t>
  </si>
  <si>
    <t>The Mouse and His Child</t>
  </si>
  <si>
    <t>The City of Lost Children</t>
  </si>
  <si>
    <t>Parents</t>
  </si>
  <si>
    <t>Next genre seed</t>
  </si>
  <si>
    <t>Kids (1995)</t>
  </si>
  <si>
    <t>Gen-X Youth Realism</t>
  </si>
  <si>
    <t>Transgressive Indie</t>
  </si>
  <si>
    <t>BFI dark kids / childhood anchors</t>
  </si>
  <si>
    <t>Dark Family Sources</t>
  </si>
  <si>
    <t>Expansion v10</t>
  </si>
  <si>
    <t>Forgotten Family</t>
  </si>
  <si>
    <t>Kids Adventure</t>
  </si>
  <si>
    <t>80s/90s Video-store</t>
  </si>
  <si>
    <t>We're Back!</t>
  </si>
  <si>
    <t>The Pagemaster</t>
  </si>
  <si>
    <t>Richie Rich</t>
  </si>
  <si>
    <t>Magic Island</t>
  </si>
  <si>
    <t>Warriors of Virtue</t>
  </si>
  <si>
    <t>Camp Nowhere</t>
  </si>
  <si>
    <t>Gold Diggers</t>
  </si>
  <si>
    <t>The Borrowers</t>
  </si>
  <si>
    <t>3 Ninjas</t>
  </si>
  <si>
    <t>Already owned</t>
  </si>
  <si>
    <t>Cult/forgotten first</t>
  </si>
  <si>
    <t>Mainstream only reminder</t>
  </si>
  <si>
    <t>No blanket family catalog</t>
  </si>
  <si>
    <t>Expansion v11</t>
  </si>
  <si>
    <t>Kids Creature Features</t>
  </si>
  <si>
    <t>Dinosaurs / Monsters</t>
  </si>
  <si>
    <t>Kids as leads</t>
  </si>
  <si>
    <t>Cult-first rule</t>
  </si>
  <si>
    <t>No generic creature catalog</t>
  </si>
  <si>
    <t>No obvious filler</t>
  </si>
  <si>
    <t>1960–1999 only</t>
  </si>
  <si>
    <t>The Monster Squad</t>
  </si>
  <si>
    <t>Little Monsters</t>
  </si>
  <si>
    <t>Critters</t>
  </si>
  <si>
    <t>Invaders from Mars</t>
  </si>
  <si>
    <t>Making Contact</t>
  </si>
  <si>
    <t>Prehysteria!</t>
  </si>
  <si>
    <t>Dragonworld</t>
  </si>
  <si>
    <t>Spaced Invaders</t>
  </si>
  <si>
    <t>90s oddities</t>
  </si>
  <si>
    <t>Pet Shop</t>
  </si>
  <si>
    <t>Magic in the Water</t>
  </si>
  <si>
    <t>Galgameth</t>
  </si>
  <si>
    <t>Outside range</t>
  </si>
  <si>
    <t>Eight Legged Freaks (2002)</t>
  </si>
  <si>
    <t>Not added</t>
  </si>
  <si>
    <t>Workbook stops at 1999</t>
  </si>
  <si>
    <t>IMDb / Paramount / Sony</t>
  </si>
  <si>
    <t>D23 / Full Moon</t>
  </si>
  <si>
    <t>See source sheet</t>
  </si>
  <si>
    <t>Kids Creature Sources</t>
  </si>
  <si>
    <t>Expansion v12</t>
  </si>
  <si>
    <t>Childflicks</t>
  </si>
  <si>
    <t>High-Concept Kids Adventure</t>
  </si>
  <si>
    <t>Living Toys / Miniature Worlds</t>
  </si>
  <si>
    <t>The Indian in the Cupboard</t>
  </si>
  <si>
    <t>Small Soldiers</t>
  </si>
  <si>
    <t>Honey, I Shrunk the Kids</t>
  </si>
  <si>
    <t>The Christmas Toy</t>
  </si>
  <si>
    <t>Remote</t>
  </si>
  <si>
    <t>Mainstream anchors</t>
  </si>
  <si>
    <t>Jumanji</t>
  </si>
  <si>
    <t>Toy Story</t>
  </si>
  <si>
    <t>Toy Story 2</t>
  </si>
  <si>
    <t>C = reminder only</t>
  </si>
  <si>
    <t>No generic family catalog</t>
  </si>
  <si>
    <t>Paramount / Disney / Henson</t>
  </si>
  <si>
    <t>IMDb / web verification</t>
  </si>
  <si>
    <t>Childflick Sources</t>
  </si>
  <si>
    <t>Expansion v13</t>
  </si>
  <si>
    <t>Family Animal Adventure</t>
  </si>
  <si>
    <t>Kids Drama</t>
  </si>
  <si>
    <t>80s/90s animal films</t>
  </si>
  <si>
    <t>Free Willy</t>
  </si>
  <si>
    <t>Cheetah</t>
  </si>
  <si>
    <t>Far from Home: Yellow Dog</t>
  </si>
  <si>
    <t>Fly Away Home</t>
  </si>
  <si>
    <t>Napoleon</t>
  </si>
  <si>
    <t>Born to Be Wild</t>
  </si>
  <si>
    <t>Iron Will</t>
  </si>
  <si>
    <t>Alaska</t>
  </si>
  <si>
    <t>White Fang</t>
  </si>
  <si>
    <t>Homeward Bound</t>
  </si>
  <si>
    <t>Priority C</t>
  </si>
  <si>
    <t>Nostalgia/cult first</t>
  </si>
  <si>
    <t>No generic pet-film dump</t>
  </si>
  <si>
    <t>Disney / AFI / IMDb</t>
  </si>
  <si>
    <t>Wikipedia supplemental</t>
  </si>
  <si>
    <t>Animal Adventure Sources</t>
  </si>
  <si>
    <t>Expansion v14</t>
  </si>
  <si>
    <t>Synthwave / Neo-80s</t>
  </si>
  <si>
    <t>Neon Action</t>
  </si>
  <si>
    <t>Retro-Futurism</t>
  </si>
  <si>
    <t>Definition</t>
  </si>
  <si>
    <t>Fast + neon + synth/tech</t>
  </si>
  <si>
    <t>80s excess / cyber-action</t>
  </si>
  <si>
    <t>Not slow cyber-noir only</t>
  </si>
  <si>
    <t>Core DNA</t>
  </si>
  <si>
    <t>Streets of Fire</t>
  </si>
  <si>
    <t>The Wraith</t>
  </si>
  <si>
    <t>Cherry 2000</t>
  </si>
  <si>
    <t>Miami Connection</t>
  </si>
  <si>
    <t>Trancers</t>
  </si>
  <si>
    <t>Night of the Comet</t>
  </si>
  <si>
    <t>Cyber action</t>
  </si>
  <si>
    <t>Nemesis</t>
  </si>
  <si>
    <t>Class of 1999</t>
  </si>
  <si>
    <t>Johnny Mnemonic</t>
  </si>
  <si>
    <t>VHS / DTV</t>
  </si>
  <si>
    <t>Future Kick</t>
  </si>
  <si>
    <t>T-Force</t>
  </si>
  <si>
    <t>Drive (1997)</t>
  </si>
  <si>
    <t>TRON</t>
  </si>
  <si>
    <t>RoboCop</t>
  </si>
  <si>
    <t>The Running Man</t>
  </si>
  <si>
    <t>Modern reference</t>
  </si>
  <si>
    <t>Kung Fury / Blood Dragon</t>
  </si>
  <si>
    <t>Outside workbook period</t>
  </si>
  <si>
    <t>Used as aesthetic benchmark</t>
  </si>
  <si>
    <t>C = mainstream DNA</t>
  </si>
  <si>
    <t>No generic action dump</t>
  </si>
  <si>
    <t>TCM / VICE / IMDb</t>
  </si>
  <si>
    <t>Web research</t>
  </si>
  <si>
    <t>Synthwave Neon Sources</t>
  </si>
  <si>
    <t>Expansion v15</t>
  </si>
  <si>
    <t>Tech-Noir</t>
  </si>
  <si>
    <t>Cyberpunk Noir</t>
  </si>
  <si>
    <t>Technology Paranoia</t>
  </si>
  <si>
    <t>Noir + technology</t>
  </si>
  <si>
    <t>Urban paranoia</t>
  </si>
  <si>
    <t>Corporate / AI / VR</t>
  </si>
  <si>
    <t>Blade Runner</t>
  </si>
  <si>
    <t>The Terminator</t>
  </si>
  <si>
    <t>The Element of Crime</t>
  </si>
  <si>
    <t>Strange Days</t>
  </si>
  <si>
    <t>Ghost in the Shell</t>
  </si>
  <si>
    <t>Deep cuts</t>
  </si>
  <si>
    <t>Fresh Kill</t>
  </si>
  <si>
    <t>New Rose Hotel</t>
  </si>
  <si>
    <t>Nirvana</t>
  </si>
  <si>
    <t>The Thirteenth Floor</t>
  </si>
  <si>
    <t>Hardware</t>
  </si>
  <si>
    <t>Split Second</t>
  </si>
  <si>
    <t>C = mainstream anchor</t>
  </si>
  <si>
    <t>No generic cyberpunk dump</t>
  </si>
  <si>
    <t>IMDb / supplemental</t>
  </si>
  <si>
    <t>Tech-Noir Sources</t>
  </si>
  <si>
    <t>Row-level provenance v16</t>
  </si>
  <si>
    <t>Every year tab</t>
  </si>
  <si>
    <t>Why it matters + Source</t>
  </si>
  <si>
    <t>Behind every film</t>
  </si>
  <si>
    <t>No fabricated links</t>
  </si>
  <si>
    <t>Direct row-level URL</t>
  </si>
  <si>
    <t>Original v1 research basis</t>
  </si>
  <si>
    <t>Needs source audit</t>
  </si>
  <si>
    <t>Total</t>
  </si>
  <si>
    <t>Protocol</t>
  </si>
  <si>
    <t>Direct URLs override older notes</t>
  </si>
  <si>
    <t>V1 reasons preserved</t>
  </si>
  <si>
    <t>Missing sources explicitly flagged</t>
  </si>
  <si>
    <t>Important</t>
  </si>
  <si>
    <t>SOURCE AUDIT NEEDED ≠ verified</t>
  </si>
  <si>
    <t>Expansion v17</t>
  </si>
  <si>
    <t>Adult Animation</t>
  </si>
  <si>
    <t>Sci-Fi / Fantasy</t>
  </si>
  <si>
    <t>Cult Animation</t>
  </si>
  <si>
    <t>Heavy Metal</t>
  </si>
  <si>
    <t>Rock &amp; Rule</t>
  </si>
  <si>
    <t>Wizards</t>
  </si>
  <si>
    <t>Fire and Ice</t>
  </si>
  <si>
    <t>Fantastic Planet</t>
  </si>
  <si>
    <t>American Pop</t>
  </si>
  <si>
    <t>Bakshi</t>
  </si>
  <si>
    <t>Fritz the Cat</t>
  </si>
  <si>
    <t>Heavy Traffic</t>
  </si>
  <si>
    <t>Coonskin</t>
  </si>
  <si>
    <t>Euro / anime</t>
  </si>
  <si>
    <t>Belladonna of Sadness</t>
  </si>
  <si>
    <t>The Time Masters</t>
  </si>
  <si>
    <t>Gandahar</t>
  </si>
  <si>
    <t>Akira</t>
  </si>
  <si>
    <t>Priority C/A</t>
  </si>
  <si>
    <t>Adult/cult relevance first</t>
  </si>
  <si>
    <t>No generic animation dump</t>
  </si>
  <si>
    <t>Sources</t>
  </si>
  <si>
    <t>Row-level in year tabs</t>
  </si>
  <si>
    <t>Direct URLs</t>
  </si>
  <si>
    <t>V4 fact-check style</t>
  </si>
  <si>
    <t>Expansion v18</t>
  </si>
  <si>
    <t>New tab</t>
  </si>
  <si>
    <t>Pre-1960</t>
  </si>
  <si>
    <t>Rows</t>
  </si>
  <si>
    <t>Starts</t>
  </si>
  <si>
    <t>1902 — A Trip to the Moon</t>
  </si>
  <si>
    <t>Includes</t>
  </si>
  <si>
    <t>Metropolis (1927)</t>
  </si>
  <si>
    <t>Purpose</t>
  </si>
  <si>
    <t>Cult / horror / sci-fi foundations</t>
  </si>
  <si>
    <t>Not full classic canon</t>
  </si>
  <si>
    <t>Only relevant ancestors</t>
  </si>
  <si>
    <t>Caligari / Nosferatu / Metropolis</t>
  </si>
  <si>
    <t>Freaks / Things to Come</t>
  </si>
  <si>
    <t>Night of the Hunter</t>
  </si>
  <si>
    <t>50s DNA</t>
  </si>
  <si>
    <t>Forbidden Planet</t>
  </si>
  <si>
    <t>Body Snatchers</t>
  </si>
  <si>
    <t>Night of the Demon</t>
  </si>
  <si>
    <t>Cult exploitation</t>
  </si>
  <si>
    <t>House on Haunted Hill</t>
  </si>
  <si>
    <t>Plan 9</t>
  </si>
  <si>
    <t>The Tingler</t>
  </si>
  <si>
    <t>Layout</t>
  </si>
  <si>
    <t>Title → Year → Priority</t>
  </si>
  <si>
    <t>Status retained</t>
  </si>
  <si>
    <t>Expansion v19 — Cult Blind Spots</t>
  </si>
  <si>
    <t>Reclassified</t>
  </si>
  <si>
    <t>Hong Kong</t>
  </si>
  <si>
    <t>Heroic Bloodshed</t>
  </si>
  <si>
    <t>Category III</t>
  </si>
  <si>
    <t>Major gap filled</t>
  </si>
  <si>
    <t>Italy</t>
  </si>
  <si>
    <t>Poliziotteschi / Eurocrime</t>
  </si>
  <si>
    <t>VHS action</t>
  </si>
  <si>
    <t>Ninja / Martial Arts</t>
  </si>
  <si>
    <t>Japan</t>
  </si>
  <si>
    <t>Cyberpunk / Underground</t>
  </si>
  <si>
    <t>Britain</t>
  </si>
  <si>
    <t>Folk Horror / Rural Weird</t>
  </si>
  <si>
    <t>1990s</t>
  </si>
  <si>
    <t>Gen-X / Slacker / Indie</t>
  </si>
  <si>
    <t>Underground</t>
  </si>
  <si>
    <t>Queer / Camp / New Queer Cinema</t>
  </si>
  <si>
    <t>Form</t>
  </si>
  <si>
    <t>Mockumentary / Fake Documentary</t>
  </si>
  <si>
    <t>Fantasy</t>
  </si>
  <si>
    <t>Sword &amp; Sorcery / Barbarian VHS</t>
  </si>
  <si>
    <t>Curation</t>
  </si>
  <si>
    <t>No generic B-movie dump</t>
  </si>
  <si>
    <t>A/B/C retained</t>
  </si>
  <si>
    <t>Row-level sources</t>
  </si>
  <si>
    <t>BFI + title/cycle sources</t>
  </si>
  <si>
    <t>No fabricated URLs</t>
  </si>
  <si>
    <t>Total master</t>
  </si>
  <si>
    <t>Expansion v20 — Classic Kung Fu / Bruce Lee</t>
  </si>
  <si>
    <t>Years</t>
  </si>
  <si>
    <t>1966–1991</t>
  </si>
  <si>
    <t>Core genre</t>
  </si>
  <si>
    <t>Classic Hong Kong Kung Fu</t>
  </si>
  <si>
    <t>Shaw Brothers</t>
  </si>
  <si>
    <t>Golden Harvest</t>
  </si>
  <si>
    <t>Bruce Lee</t>
  </si>
  <si>
    <t>The Big Boss / Fist of Fury</t>
  </si>
  <si>
    <t>Way of the Dragon</t>
  </si>
  <si>
    <t>Enter the Dragon</t>
  </si>
  <si>
    <t>Cult branch</t>
  </si>
  <si>
    <t>Bruceploitation</t>
  </si>
  <si>
    <t>5 curated titles</t>
  </si>
  <si>
    <t>No clone-film dump</t>
  </si>
  <si>
    <t>Shaw canon</t>
  </si>
  <si>
    <t>36th Chamber / Five Venoms</t>
  </si>
  <si>
    <t>Dirty Ho / Eight Diagram</t>
  </si>
  <si>
    <t>Flying Guillotine</t>
  </si>
  <si>
    <t>Jackie / Sammo</t>
  </si>
  <si>
    <t>Drunken Master / Prodigal Son</t>
  </si>
  <si>
    <t>Project A / Police Story</t>
  </si>
  <si>
    <t>Wheels on Meals</t>
  </si>
  <si>
    <t>Foundations</t>
  </si>
  <si>
    <t>Come Drink with Me</t>
  </si>
  <si>
    <t>One-Armed Swordsman</t>
  </si>
  <si>
    <t>A Touch of Zen</t>
  </si>
  <si>
    <t>Canon + cult deep cuts</t>
  </si>
  <si>
    <t>VHS/grindhouse relevance</t>
  </si>
  <si>
    <t>No generic kung-fu dump</t>
  </si>
  <si>
    <t>Row-level URLs</t>
  </si>
  <si>
    <t>BFI preferred</t>
  </si>
  <si>
    <t>Supplemental title sources</t>
  </si>
  <si>
    <t>Master total</t>
  </si>
  <si>
    <t>New pass</t>
  </si>
  <si>
    <t>v22 — Curator Cleanup</t>
  </si>
  <si>
    <t>Films removed</t>
  </si>
  <si>
    <t>Priority A</t>
  </si>
  <si>
    <t>Priority B</t>
  </si>
  <si>
    <t>Needs Genre Review</t>
  </si>
  <si>
    <t>Change</t>
  </si>
  <si>
    <t>Why it matters → Curator Tags</t>
  </si>
  <si>
    <t>Genre separators</t>
  </si>
  <si>
    <t>Standardized / syntax</t>
  </si>
  <si>
    <t>Priority ≠ quality score</t>
  </si>
  <si>
    <t>Bad movies stay</t>
  </si>
  <si>
    <t>Cult value matters</t>
  </si>
  <si>
    <t>Search</t>
  </si>
  <si>
    <t>Genre + Tag filters</t>
  </si>
  <si>
    <t>Guide</t>
  </si>
  <si>
    <t>Tag glossary</t>
  </si>
  <si>
    <t>Preservation</t>
  </si>
  <si>
    <t>Sources retained</t>
  </si>
  <si>
    <t>Statuses retained</t>
  </si>
  <si>
    <t>Alphabetical year tabs</t>
  </si>
  <si>
    <t>v23 — Horror Subgenres</t>
  </si>
  <si>
    <t>Generic 'Horror' remaining</t>
  </si>
  <si>
    <t>Horror rows reclassified</t>
  </si>
  <si>
    <t>Still needs subgenre review</t>
  </si>
  <si>
    <t>Halloween → Slasher</t>
  </si>
  <si>
    <t>The Thing → Sci-Fi / Body</t>
  </si>
  <si>
    <t>Blair Witch → Found Footage / Folk</t>
  </si>
  <si>
    <t>Principle</t>
  </si>
  <si>
    <t>Horror is umbrella</t>
  </si>
  <si>
    <t>Subgenre = actual classification</t>
  </si>
  <si>
    <t>No films removed</t>
  </si>
  <si>
    <t>Updated index</t>
  </si>
  <si>
    <t>Genre filter works</t>
  </si>
  <si>
    <t>All statuses/sources retained</t>
  </si>
  <si>
    <t>v25 — Sci-Fi + Outsider Cult</t>
  </si>
  <si>
    <t>Sci-Fi blind spots added</t>
  </si>
  <si>
    <t>Outsider titles added</t>
  </si>
  <si>
    <t>Existing outsider reclassified</t>
  </si>
  <si>
    <t>Outsider family</t>
  </si>
  <si>
    <t>So-Bad-It's-Good</t>
  </si>
  <si>
    <t>SOV / Regional Oddity</t>
  </si>
  <si>
    <t>Amateur / Vanity / Microbudget</t>
  </si>
  <si>
    <t>Manos / Hobgoblins</t>
  </si>
  <si>
    <t>Space Mutiny / R.O.T.O.R.</t>
  </si>
  <si>
    <t>Samurai Cop / Troll 2</t>
  </si>
  <si>
    <t>SOV</t>
  </si>
  <si>
    <t>Sledgehammer / Blood Cult</t>
  </si>
  <si>
    <t>555 / Splatter Farm</t>
  </si>
  <si>
    <t>QuadeaD Zone</t>
  </si>
  <si>
    <t>Action oddities</t>
  </si>
  <si>
    <t>Deadly Prey</t>
  </si>
  <si>
    <t>Champagne and Bullets</t>
  </si>
  <si>
    <t>Hollywood Cop</t>
  </si>
  <si>
    <t>Sci-Fi blind spots</t>
  </si>
  <si>
    <t>Planet of the Apes</t>
  </si>
  <si>
    <t>Logan's Run / Stalker</t>
  </si>
  <si>
    <t>Lawnmower Man / Screamers</t>
  </si>
  <si>
    <t>Corrections</t>
  </si>
  <si>
    <t>Boardinghouse → 1982</t>
  </si>
  <si>
    <t>Things → 1989</t>
  </si>
  <si>
    <t>Memorable &gt; competent</t>
  </si>
  <si>
    <t>Cult value &gt; rating</t>
  </si>
  <si>
    <t>No generic trash dump</t>
  </si>
  <si>
    <t>v26 FINAL — Blind Spots Closed</t>
  </si>
  <si>
    <t>Added this pass</t>
  </si>
  <si>
    <t>Kaiju / Tokusatsu</t>
  </si>
  <si>
    <t>Godzilla / Gamera</t>
  </si>
  <si>
    <t>Hedorah / Gargantuas</t>
  </si>
  <si>
    <t>Monster cinema</t>
  </si>
  <si>
    <t>Made-for-TV cult</t>
  </si>
  <si>
    <t>Duel / Trilogy of Terror</t>
  </si>
  <si>
    <t>Bad Ronald / Salem's Lot</t>
  </si>
  <si>
    <t>TV oddities</t>
  </si>
  <si>
    <t>Cult documentary</t>
  </si>
  <si>
    <t>Mondo Cane / Grey Gardens</t>
  </si>
  <si>
    <t>Atomic Cafe / Streetwise</t>
  </si>
  <si>
    <t>Music + counterculture</t>
  </si>
  <si>
    <t>Giallo</t>
  </si>
  <si>
    <t>Blood and Black Lace</t>
  </si>
  <si>
    <t>Tenebrae / Laughing Windows</t>
  </si>
  <si>
    <t>Road / biker</t>
  </si>
  <si>
    <t>Dirty Mary Crazy Larry</t>
  </si>
  <si>
    <t>The Car / Psychomania</t>
  </si>
  <si>
    <t>Carsploitation</t>
  </si>
  <si>
    <t>Vigilante</t>
  </si>
  <si>
    <t>Death Wish / Vigilante</t>
  </si>
  <si>
    <t>The Exterminator</t>
  </si>
  <si>
    <t>Urban revenge</t>
  </si>
  <si>
    <t>Western cult</t>
  </si>
  <si>
    <t>Great Silence / Keoma</t>
  </si>
  <si>
    <t>Mercenary / Companeros</t>
  </si>
  <si>
    <t>Spaghetti / revisionist</t>
  </si>
  <si>
    <t>Eurotrash</t>
  </si>
  <si>
    <t>Vixen! / Supervixens</t>
  </si>
  <si>
    <t>Vampyros Lesbos / Caligula</t>
  </si>
  <si>
    <t>Sexploitation canon</t>
  </si>
  <si>
    <t>Nuclear / eco</t>
  </si>
  <si>
    <t>China Syndrome</t>
  </si>
  <si>
    <t>The Day After / Special Bulletin</t>
  </si>
  <si>
    <t>Disaster paranoia</t>
  </si>
  <si>
    <t>Punk / No Wave</t>
  </si>
  <si>
    <t>Jubilee</t>
  </si>
  <si>
    <t>Blank Generation</t>
  </si>
  <si>
    <t>Underground cinema</t>
  </si>
  <si>
    <t>Scope note</t>
  </si>
  <si>
    <t>Downtown 81 not added</t>
  </si>
  <si>
    <t>Released in 2000</t>
  </si>
  <si>
    <t>Outside master range</t>
  </si>
  <si>
    <t>Source note</t>
  </si>
  <si>
    <t>New rows marked audit-needed</t>
  </si>
  <si>
    <t>No invented URLs</t>
  </si>
  <si>
    <t>Existing sources preserved</t>
  </si>
  <si>
    <t>v27 — High-Concept Family / Video Store Cult</t>
  </si>
  <si>
    <t>New films added</t>
  </si>
  <si>
    <t>Existing films reclassified</t>
  </si>
  <si>
    <t>Genre family</t>
  </si>
  <si>
    <t>High-Concept Family / Video Store Cult</t>
  </si>
  <si>
    <t>Core additions</t>
  </si>
  <si>
    <t>Suburban Commando / Mr. Nanny</t>
  </si>
  <si>
    <t>Kazaam / Santa with Muscles</t>
  </si>
  <si>
    <t>Double Dragon / Steel</t>
  </si>
  <si>
    <t>Family cult</t>
  </si>
  <si>
    <t>Baby / Bingo</t>
  </si>
  <si>
    <t>Cop and a Half / Bushwhacked</t>
  </si>
  <si>
    <t>Short Circuit 2</t>
  </si>
  <si>
    <t>Memorable VHS identity</t>
  </si>
  <si>
    <t>High-concept hook</t>
  </si>
  <si>
    <t>Star vehicles welcome</t>
  </si>
  <si>
    <t>v28 — Psychological / Subjective Horror</t>
  </si>
  <si>
    <t>Subjective / Psychological Horror</t>
  </si>
  <si>
    <t>Apartment horror</t>
  </si>
  <si>
    <t>Repulsion / The Tenant</t>
  </si>
  <si>
    <t>Rosemary's Baby</t>
  </si>
  <si>
    <t>Claustrophobic paranoia</t>
  </si>
  <si>
    <t>Identity horror</t>
  </si>
  <si>
    <t>Persona / Perfect Blue</t>
  </si>
  <si>
    <t>Lost Highway / 3 Women</t>
  </si>
  <si>
    <t>Selfhood fractures</t>
  </si>
  <si>
    <t>Hallucinatory</t>
  </si>
  <si>
    <t>Images / Hour of the Wolf</t>
  </si>
  <si>
    <t>Jacob's Ladder</t>
  </si>
  <si>
    <t>Reality becomes unstable</t>
  </si>
  <si>
    <t>Preservation gem</t>
  </si>
  <si>
    <t>Symptoms (1974)</t>
  </si>
  <si>
    <t>Rediscovered negative</t>
  </si>
  <si>
    <t>Formerly circulated on poor VHS</t>
  </si>
  <si>
    <t>Pre-1960 root</t>
  </si>
  <si>
    <t>Dementia (1955)</t>
  </si>
  <si>
    <t>Dream logic / noir</t>
  </si>
  <si>
    <t>Psychological horror precursor</t>
  </si>
  <si>
    <t>J-horror branch</t>
  </si>
  <si>
    <t>Cure / Perfect Blue</t>
  </si>
  <si>
    <t>1997</t>
  </si>
  <si>
    <t>Psychological dread</t>
  </si>
  <si>
    <t>Title</t>
  </si>
  <si>
    <t>Priority</t>
  </si>
  <si>
    <t>Curator Tags</t>
  </si>
  <si>
    <t>Source</t>
  </si>
  <si>
    <t>Black Sunday</t>
  </si>
  <si>
    <t>A</t>
  </si>
  <si>
    <t>Gothic Horror</t>
  </si>
  <si>
    <t>☐</t>
  </si>
  <si>
    <t>Genre Essential</t>
  </si>
  <si>
    <t>Original Master v1 — curated research basis</t>
  </si>
  <si>
    <t>Eyes Without a Face</t>
  </si>
  <si>
    <t>Horror — Subgenre Review</t>
  </si>
  <si>
    <t>Cult Canon</t>
  </si>
  <si>
    <t>Peeping Tom</t>
  </si>
  <si>
    <t>Psychological Horror</t>
  </si>
  <si>
    <t>Banned / Controversial</t>
  </si>
  <si>
    <t>Psycho</t>
  </si>
  <si>
    <t>C</t>
  </si>
  <si>
    <t>Psychological Horror / Proto-Slasher</t>
  </si>
  <si>
    <t>Canon Anchor</t>
  </si>
  <si>
    <t>The Brides of Dracula</t>
  </si>
  <si>
    <t>B</t>
  </si>
  <si>
    <t>Genre Deep Cut</t>
  </si>
  <si>
    <t>The City of the Dead</t>
  </si>
  <si>
    <t>Occult Horror</t>
  </si>
  <si>
    <t>The Flesh and the Fiends</t>
  </si>
  <si>
    <t>British Horror</t>
  </si>
  <si>
    <t>The Little Shop of Horrors</t>
  </si>
  <si>
    <t>Horror Comedy</t>
  </si>
  <si>
    <t>The Mask of Satan</t>
  </si>
  <si>
    <t>The Time Machine</t>
  </si>
  <si>
    <t>Sci-Fi</t>
  </si>
  <si>
    <t>Cult Canon / Canon Anchor</t>
  </si>
  <si>
    <t>Village of the Damned</t>
  </si>
  <si>
    <t>Sci-Fi Horror</t>
  </si>
  <si>
    <t>In collectie</t>
  </si>
  <si>
    <t>Mothra</t>
  </si>
  <si>
    <t>Kaiju / Tokusatsu / Fantasy Sci-Fi</t>
  </si>
  <si>
    <t>Cult Canon / Genre Essential</t>
  </si>
  <si>
    <t>SOURCE AUDIT NEEDED — final blind-spot pass</t>
  </si>
  <si>
    <t>Mysterious Island</t>
  </si>
  <si>
    <t>The Beast of Yucca Flats</t>
  </si>
  <si>
    <t>Outsider Cinema / Sci-Fi Horror / Coleman Francis</t>
  </si>
  <si>
    <t>So-Bad-It's-Good / Psychotronic / Regional Oddity</t>
  </si>
  <si>
    <t>https://en.wikipedia.org/wiki/The_Beast_of_Yucca_Flats</t>
  </si>
  <si>
    <t>The Curse of the Werewolf</t>
  </si>
  <si>
    <t>The Day the Earth Caught Fire</t>
  </si>
  <si>
    <t>Post-Apocalyptic / Sci-Fi</t>
  </si>
  <si>
    <t>The Innocents</t>
  </si>
  <si>
    <t>Gothic Horror / Psychological Horror / Unreliable Reality</t>
  </si>
  <si>
    <t>Genre Essential / Visual Cult</t>
  </si>
  <si>
    <t>The Pit and the Pendulum</t>
  </si>
  <si>
    <t>Other / Unclassified</t>
  </si>
  <si>
    <t>Genre Deep Cut / Needs Genre Review</t>
  </si>
  <si>
    <t>Yojimbo</t>
  </si>
  <si>
    <t>Arthouse</t>
  </si>
  <si>
    <t>Carnival of Souls</t>
  </si>
  <si>
    <t>Psychological Horror / Supernatural Horror</t>
  </si>
  <si>
    <t>Journey to the Seventh Planet</t>
  </si>
  <si>
    <t>Mondo Cane</t>
  </si>
  <si>
    <t>Mondo Documentary / Shockumentary / Exploitation</t>
  </si>
  <si>
    <t>Genre Foundation / Controversial Cult</t>
  </si>
  <si>
    <t>The Awful Dr. Orlof</t>
  </si>
  <si>
    <t>The Brain That Wouldn't Die</t>
  </si>
  <si>
    <t>Drive-In Classic / Psychotronic</t>
  </si>
  <si>
    <t>The Day of the Triffids</t>
  </si>
  <si>
    <t>The Fabulous Baron Munchausen</t>
  </si>
  <si>
    <t>Fantasy / Arthouse</t>
  </si>
  <si>
    <t>The Manchurian Candidate</t>
  </si>
  <si>
    <t>Cult Canon / Canon Anchor / Needs Genre Review</t>
  </si>
  <si>
    <t>The Premature Burial</t>
  </si>
  <si>
    <t>Black Sabbath</t>
  </si>
  <si>
    <t>Horror Anthology / Italian Horror</t>
  </si>
  <si>
    <t>Dementia 13</t>
  </si>
  <si>
    <t>Matango</t>
  </si>
  <si>
    <t>Japanese Sci-Fi Horror / Mutation / Island Nightmare</t>
  </si>
  <si>
    <t>Cult Canon / Genre Deep Cut</t>
  </si>
  <si>
    <t>The Birds</t>
  </si>
  <si>
    <t>Nature Horror / Animal Attack</t>
  </si>
  <si>
    <t>The Girl Who Knew Too Much</t>
  </si>
  <si>
    <t>Genre Foundation</t>
  </si>
  <si>
    <t>The Haunting</t>
  </si>
  <si>
    <t>The Kiss of the Vampire</t>
  </si>
  <si>
    <t>The Old Dark House</t>
  </si>
  <si>
    <t>Comedy / Camp</t>
  </si>
  <si>
    <t>Camp Classic</t>
  </si>
  <si>
    <t>The Raven</t>
  </si>
  <si>
    <t>The Sadist</t>
  </si>
  <si>
    <t>Thriller / Exploitation</t>
  </si>
  <si>
    <t>The Whip and the Body</t>
  </si>
  <si>
    <t>Cult Canon / Needs Genre Review</t>
  </si>
  <si>
    <t>A Hard Day's Night</t>
  </si>
  <si>
    <t>Music / Rock / Comedy</t>
  </si>
  <si>
    <t>SOURCE AUDIT NEEDED — row-level external source not retained</t>
  </si>
  <si>
    <t>Giallo / Fashion Horror / Proto-Slasher</t>
  </si>
  <si>
    <t>Cult Canon / Genre Foundation / Visual Cult</t>
  </si>
  <si>
    <t>Castle of Blood</t>
  </si>
  <si>
    <t>Dr. Strangelove</t>
  </si>
  <si>
    <t>Satire</t>
  </si>
  <si>
    <t>Kwaidan</t>
  </si>
  <si>
    <t>Onibaba</t>
  </si>
  <si>
    <t>Japanese Horror</t>
  </si>
  <si>
    <t>Santa Claus Conquers the Martians</t>
  </si>
  <si>
    <t>Outsider Cinema / Kids Sci-Fi / Christmas Oddity</t>
  </si>
  <si>
    <t>So-Bad-It's-Good / Cult Canon / Psychotronic</t>
  </si>
  <si>
    <t>https://en.wikipedia.org/wiki/Santa_Claus_Conquers_the_Martians</t>
  </si>
  <si>
    <t>Spider Baby</t>
  </si>
  <si>
    <t>The Creeping Terror</t>
  </si>
  <si>
    <t>Outsider Cinema / Creature Sci-Fi / Regional B-Movie</t>
  </si>
  <si>
    <t>So-Bad-It's-Good / Regional Oddity / Cult Canon</t>
  </si>
  <si>
    <t>https://en.wikipedia.org/wiki/The_Creeping_Terror</t>
  </si>
  <si>
    <t>The Earth Dies Screaming</t>
  </si>
  <si>
    <t>The Flesh Eaters</t>
  </si>
  <si>
    <t>Genre Foundation / Needs Genre Review</t>
  </si>
  <si>
    <t>The Gorgon</t>
  </si>
  <si>
    <t>The Incredibly Strange Creatures Who Stopped Living and Became Mixed-Up Zombies</t>
  </si>
  <si>
    <t>Outsider Cinema / Monster Musical / Exploitation</t>
  </si>
  <si>
    <t>Psychotronic / Cult Oddity / Regional Oddity</t>
  </si>
  <si>
    <t>https://en.wikipedia.org/wiki/The_Incredibly_Strange_Creatures_Who_Stopped_Living_and_Became_Mixed-Up_Zombies</t>
  </si>
  <si>
    <t>The Last Man on Earth</t>
  </si>
  <si>
    <t>The Masque of the Red Death</t>
  </si>
  <si>
    <t>The Umbrellas of Cherbourg</t>
  </si>
  <si>
    <t>Musical / Romance / Arthouse</t>
  </si>
  <si>
    <t>Alphaville</t>
  </si>
  <si>
    <t>Sci-Fi / Arthouse</t>
  </si>
  <si>
    <t>Die, Monster, Die!</t>
  </si>
  <si>
    <t>Cosmic Horror</t>
  </si>
  <si>
    <t>Dr. Terror's House of Horrors</t>
  </si>
  <si>
    <t>Faster, Pussycat! Kill! Kill!</t>
  </si>
  <si>
    <t>Exploitation</t>
  </si>
  <si>
    <t>Frankenstein Meets the Space Monster</t>
  </si>
  <si>
    <t>Gamera, the Giant Monster</t>
  </si>
  <si>
    <t>Kaiju / Tokusatsu / Japanese Monster</t>
  </si>
  <si>
    <t>Cult Canon / Genre Foundation</t>
  </si>
  <si>
    <t>Help!</t>
  </si>
  <si>
    <t>Monster a Go-Go</t>
  </si>
  <si>
    <t>Outsider Cinema / Sci-Fi Horror / Regional Oddity</t>
  </si>
  <si>
    <t>So-Bad-It's-Good / Cult Oddity</t>
  </si>
  <si>
    <t>https://en.wikipedia.org/wiki/Monster_a_Go-Go</t>
  </si>
  <si>
    <t>Orgy of the Dead</t>
  </si>
  <si>
    <t>Psychotronic / Needs Genre Review</t>
  </si>
  <si>
    <t>Planet of the Vampires</t>
  </si>
  <si>
    <t>Repulsion</t>
  </si>
  <si>
    <t>Psychological Horror / Subjective Horror / Apartment Horror</t>
  </si>
  <si>
    <t>Cult Canon / Genre Essential / Visual Cult</t>
  </si>
  <si>
    <t>https://whatson.bfi.org.uk/Online/default.asp?BOparam%3A%3AWScontent%3A%3AloadArticle%3A%3Apermalink=repulsion</t>
  </si>
  <si>
    <t>The 10th Victim</t>
  </si>
  <si>
    <t>The Skull</t>
  </si>
  <si>
    <t>Classic Hong Kong Kung Fu / Wuxia / Shaw Brothers / Foundation</t>
  </si>
  <si>
    <t>https://www.bfi.org.uk/features/where-begin-with-shaw-brothers</t>
  </si>
  <si>
    <t>Django</t>
  </si>
  <si>
    <t>Western</t>
  </si>
  <si>
    <t>Dracula: Prince of Darkness</t>
  </si>
  <si>
    <t>Fantastic Voyage</t>
  </si>
  <si>
    <t>Science Adventure / Miniaturization / Medical Sci-Fi</t>
  </si>
  <si>
    <t>Canon Anchor / Genre Foundation</t>
  </si>
  <si>
    <t>https://en.wikipedia.org/wiki/Fantastic_Voyage</t>
  </si>
  <si>
    <t>Gamera vs. Barugon</t>
  </si>
  <si>
    <t>Kaiju / Tokusatsu / Monster Battle</t>
  </si>
  <si>
    <t>Franchise Essential / Genre Deep Cut</t>
  </si>
  <si>
    <t>Kill, Baby... Kill!</t>
  </si>
  <si>
    <t>Manos: The Hands of Fate</t>
  </si>
  <si>
    <t>Outsider Cinema / Folk Horror / Amateur Regional</t>
  </si>
  <si>
    <t>So-Bad-It's-Good / Cult Canon / Regional Oddity</t>
  </si>
  <si>
    <t>https://www.amateurcinema.org/index.php/film/manos-the-hands-of-fate</t>
  </si>
  <si>
    <t>Persona</t>
  </si>
  <si>
    <t>Psychological Surrealism / Identity Horror / Arthouse</t>
  </si>
  <si>
    <t>Canon Anchor / Genre Foundation / Identity Cinema</t>
  </si>
  <si>
    <t>https://www.bfi.org.uk/lists/persona-films-inspired-ingmar-bergman-60th-anniversary</t>
  </si>
  <si>
    <t>Rat Pfink a Boo Boo</t>
  </si>
  <si>
    <t>Outsider Cinema / Superhero Parody / Ray Dennis Steckler</t>
  </si>
  <si>
    <t>https://en.wikipedia.org/wiki/Rat_Pfink_a_Boo_Boo</t>
  </si>
  <si>
    <t>Seconds</t>
  </si>
  <si>
    <t>Paranoid Sci-Fi / Identity Horror / Psychological Thriller</t>
  </si>
  <si>
    <t>The Big Gundown</t>
  </si>
  <si>
    <t>Spaghetti Western / Political Western / Manhunt</t>
  </si>
  <si>
    <t>Genre Essential / Cult Classic</t>
  </si>
  <si>
    <t>The Embalmer</t>
  </si>
  <si>
    <t>The Face of Another</t>
  </si>
  <si>
    <t>The Plague of the Zombies</t>
  </si>
  <si>
    <t>The Pornographers</t>
  </si>
  <si>
    <t>The Reptile</t>
  </si>
  <si>
    <t>The War of the Gargantuas</t>
  </si>
  <si>
    <t>Kaiju / Tokusatsu / Creature Sci-Fi</t>
  </si>
  <si>
    <t>Cult Canon / Creature Feature</t>
  </si>
  <si>
    <t>The Wild Angels</t>
  </si>
  <si>
    <t>Biker / Action / Exploitation</t>
  </si>
  <si>
    <t>Argoman the Fantastic Superman</t>
  </si>
  <si>
    <t>Branded to Kill</t>
  </si>
  <si>
    <t>David Holzman's Diary</t>
  </si>
  <si>
    <t>Mockumentary Foundation / Meta-Cinema / American Indie</t>
  </si>
  <si>
    <t>https://en.wikipedia.org/wiki/David_Holzman%27s_Diary</t>
  </si>
  <si>
    <t>Classic Hong Kong Kung Fu / Wuxia / Shaw Brothers</t>
  </si>
  <si>
    <t>https://www.bfi.org.uk/lists/10-great-wuxia-swordplay-films</t>
  </si>
  <si>
    <t>Point Blank</t>
  </si>
  <si>
    <t>Crime / Noir</t>
  </si>
  <si>
    <t>Privilege</t>
  </si>
  <si>
    <t>Sci-Fi / Dystopian</t>
  </si>
  <si>
    <t>Quatermass and the Pit</t>
  </si>
  <si>
    <t>Samurai Rebellion</t>
  </si>
  <si>
    <t>She Freak</t>
  </si>
  <si>
    <t>The Fearless Vampire Killers</t>
  </si>
  <si>
    <t>The Gruesome Twosome</t>
  </si>
  <si>
    <t>The Sorcerers</t>
  </si>
  <si>
    <t>Psychotronic</t>
  </si>
  <si>
    <t>The Trip</t>
  </si>
  <si>
    <t>Visual Cult</t>
  </si>
  <si>
    <t>The X from Outer Space</t>
  </si>
  <si>
    <t>Kaiju / Alien Creature / Sci-Fi</t>
  </si>
  <si>
    <t>Cult Oddity / Genre Deep Cut</t>
  </si>
  <si>
    <t>The Young Girls of Rochefort</t>
  </si>
  <si>
    <t>This Night I'll Possess Your Corpse</t>
  </si>
  <si>
    <t>Barbarella</t>
  </si>
  <si>
    <t>Sci-Fi / Comedy / Camp</t>
  </si>
  <si>
    <t>Danger: Diabolik</t>
  </si>
  <si>
    <t>Destroy All Monsters</t>
  </si>
  <si>
    <t>Kaiju / Tokusatsu / Monster Ensemble</t>
  </si>
  <si>
    <t>Cult Canon / Franchise Essential</t>
  </si>
  <si>
    <t>Goke, Body Snatcher from Hell</t>
  </si>
  <si>
    <t>Head</t>
  </si>
  <si>
    <t>Music / Psychedelic</t>
  </si>
  <si>
    <t>Hour of the Wolf</t>
  </si>
  <si>
    <t>Psychological Horror / Folk Horror / Hallucinatory Reality</t>
  </si>
  <si>
    <t>https://www.bfi.org.uk/features/ingmar-bergman-folk-horror-pioneer</t>
  </si>
  <si>
    <t>Night of the Living Dead</t>
  </si>
  <si>
    <t>Zombie Horror / Siege Horror</t>
  </si>
  <si>
    <t>Dystopian Sci-Fi / Social Sci-Fi / Post-Apocalyptic</t>
  </si>
  <si>
    <t>Canon Anchor / Genre Essential</t>
  </si>
  <si>
    <t>https://en.wikipedia.org/wiki/Planet_of_the_Apes_(1968_film)</t>
  </si>
  <si>
    <t>Psychological Horror / Occult Horror / Apartment Paranoia</t>
  </si>
  <si>
    <t>Spirits of the Dead</t>
  </si>
  <si>
    <t>Horror Anthology</t>
  </si>
  <si>
    <t>Symbiopsychotaxiplasm: Take One</t>
  </si>
  <si>
    <t>Experimental</t>
  </si>
  <si>
    <t>Targets</t>
  </si>
  <si>
    <t>The Astro-Zombies</t>
  </si>
  <si>
    <t>Outsider Cinema / Sci-Fi Horror / Exploitation</t>
  </si>
  <si>
    <t>Psychotronic / Cult Canon / Regional Oddity</t>
  </si>
  <si>
    <t>https://en.wikipedia.org/wiki/The_Astro-Zombies</t>
  </si>
  <si>
    <t>The Blood of Fu Manchu</t>
  </si>
  <si>
    <t>The Devil Rides Out</t>
  </si>
  <si>
    <t>The Great Silence</t>
  </si>
  <si>
    <t>Spaghetti Western / Revisionist Western / Snowbound Revenge</t>
  </si>
  <si>
    <t>The Green Slime</t>
  </si>
  <si>
    <t>The Living Skeleton</t>
  </si>
  <si>
    <t>Supernatural Horror</t>
  </si>
  <si>
    <t>The Mercenary</t>
  </si>
  <si>
    <t>Spaghetti Western / Zapata Western / Revolution</t>
  </si>
  <si>
    <t>They Saved Hitler's Brain</t>
  </si>
  <si>
    <t>Outsider Cinema / Exploitation Sci-Fi / TV-Cut Oddity</t>
  </si>
  <si>
    <t>So-Bad-It's-Good / Cult Oddity / Alternate Cut History</t>
  </si>
  <si>
    <t>https://en.wikipedia.org/wiki/They_Saved_Hitler%27s_Brain</t>
  </si>
  <si>
    <t>Vixen!</t>
  </si>
  <si>
    <t>Sexploitation / Erotic Drama / Russ Meyer</t>
  </si>
  <si>
    <t>Cult Canon / Exploitation Landmark</t>
  </si>
  <si>
    <t>Witchfinder General</t>
  </si>
  <si>
    <t>Folk Horror</t>
  </si>
  <si>
    <t>Yellow Submarine</t>
  </si>
  <si>
    <t>Animation / Music / Psychedelic</t>
  </si>
  <si>
    <t>All Monsters Attack</t>
  </si>
  <si>
    <t>Kaiju / Kids Fantasy / Franchise Oddity</t>
  </si>
  <si>
    <t>Franchise Deep Cut / Cult Oddity</t>
  </si>
  <si>
    <t>All the Colors of the Dark</t>
  </si>
  <si>
    <t>Blind Beast</t>
  </si>
  <si>
    <t>Fando y Lis</t>
  </si>
  <si>
    <t>Arthouse / Surreal</t>
  </si>
  <si>
    <t>Funeral Parade of Roses</t>
  </si>
  <si>
    <t>Horrors of Malformed Men</t>
  </si>
  <si>
    <t>Stereo</t>
  </si>
  <si>
    <t>Sci-Fi / Experimental</t>
  </si>
  <si>
    <t>The Bed Sitting Room</t>
  </si>
  <si>
    <t>Post-Apocalyptic / Arthouse / Absurdist</t>
  </si>
  <si>
    <t>https://www.mondo-digital.com/bronxwarriors.html</t>
  </si>
  <si>
    <t>The Cremator</t>
  </si>
  <si>
    <t>Psychological Horror / Black Comedy / Surrealism</t>
  </si>
  <si>
    <t>Cult Canon / Visual Cult / Genre Deep Cut</t>
  </si>
  <si>
    <t>The Haunted House of Horror</t>
  </si>
  <si>
    <t>The Illustrated Man</t>
  </si>
  <si>
    <t>Cult Oddity</t>
  </si>
  <si>
    <t>The Oblong Box</t>
  </si>
  <si>
    <t>The Valley of Gwangi</t>
  </si>
  <si>
    <t>Fantasy / Western</t>
  </si>
  <si>
    <t>Venus in Furs</t>
  </si>
  <si>
    <t>Erotic</t>
  </si>
  <si>
    <t>A Walk In The Spring Rain</t>
  </si>
  <si>
    <t>Adam At Six A.M</t>
  </si>
  <si>
    <t>Airport</t>
  </si>
  <si>
    <t>And Soon The Darkness</t>
  </si>
  <si>
    <t>Angel Unchained</t>
  </si>
  <si>
    <t>Beast of Blood</t>
  </si>
  <si>
    <t>Exploitation Horror</t>
  </si>
  <si>
    <t>Beneath the Planet of the Apes</t>
  </si>
  <si>
    <t>Dystopian Sci-Fi / Post-Apocalyptic / Mutant Cult</t>
  </si>
  <si>
    <t>https://en.wikipedia.org/wiki/Beneath_the_Planet_of_the_Apes</t>
  </si>
  <si>
    <t>Beyond the Valley of the Dolls</t>
  </si>
  <si>
    <t>Bigfoot The Movie</t>
  </si>
  <si>
    <t>Bombay Talkie</t>
  </si>
  <si>
    <t>Carry On Up the Jungle</t>
  </si>
  <si>
    <t>Colossus: The Forbin Project</t>
  </si>
  <si>
    <t>Artificial Intelligence / Computer Dystopia / Techno-Thriller</t>
  </si>
  <si>
    <t>https://en.wikipedia.org/wiki/Colossus:_The_Forbin_Project</t>
  </si>
  <si>
    <t>Companeros</t>
  </si>
  <si>
    <t>Cotton Comes to Harlem</t>
  </si>
  <si>
    <t>Black Cinema / Crime Comedy / Proto-Blaxploitation</t>
  </si>
  <si>
    <t>Cover Me Babe</t>
  </si>
  <si>
    <t>Crowhaven Farm</t>
  </si>
  <si>
    <t>Made-for-TV Horror / Folk Horror / Witchcraft</t>
  </si>
  <si>
    <t>TV Cult / Forgotten Gem</t>
  </si>
  <si>
    <t>El Topo</t>
  </si>
  <si>
    <t>Western / Arthouse / Surreal</t>
  </si>
  <si>
    <t>Midnight Movie</t>
  </si>
  <si>
    <t>Equinox</t>
  </si>
  <si>
    <t>Monster</t>
  </si>
  <si>
    <t>Creature Feature</t>
  </si>
  <si>
    <t>Flesh Feast</t>
  </si>
  <si>
    <t>Gimme Shelter</t>
  </si>
  <si>
    <t>Music Documentary / Counterculture / Concert Film</t>
  </si>
  <si>
    <t>Canon Anchor / Time Capsule</t>
  </si>
  <si>
    <t>Hatchet for the Honeymoon</t>
  </si>
  <si>
    <t>Hell's Bloody Devils</t>
  </si>
  <si>
    <t>Horror of the Blood Monsters</t>
  </si>
  <si>
    <t>House of Dark Shadows</t>
  </si>
  <si>
    <t>How Do I Love Thee?</t>
  </si>
  <si>
    <t>I Drink Your Blood</t>
  </si>
  <si>
    <t>I Never Sang For My Father</t>
  </si>
  <si>
    <t>Investigation of a Citizen Above Suspicion</t>
  </si>
  <si>
    <t>Multiple Maniacs</t>
  </si>
  <si>
    <t>No Blade of Grass</t>
  </si>
  <si>
    <t>Eco-Apocalypse / Disaster / Social Sci-Fi</t>
  </si>
  <si>
    <t>Cult Classic / Genre Essential</t>
  </si>
  <si>
    <t>On A Clear Day You Can See Forever</t>
  </si>
  <si>
    <t>One Brief Summer</t>
  </si>
  <si>
    <t>Comedy / Exploitation</t>
  </si>
  <si>
    <t>Patton</t>
  </si>
  <si>
    <t>Performance</t>
  </si>
  <si>
    <t>Music / Rock / Arthouse</t>
  </si>
  <si>
    <t>Quackser Fortune Has a Cousin in the Bronx</t>
  </si>
  <si>
    <t>Queens of Evil/Le Regine</t>
  </si>
  <si>
    <t>Rio Lobo</t>
  </si>
  <si>
    <t>Robin Redbreast</t>
  </si>
  <si>
    <t>https://www.bfi.org.uk/features/play-today-50-folk-horror</t>
  </si>
  <si>
    <t>Ryan's Daughter</t>
  </si>
  <si>
    <t>Skullduggery</t>
  </si>
  <si>
    <t>Space Amoeba</t>
  </si>
  <si>
    <t>Take a Girl Like You</t>
  </si>
  <si>
    <t>Tell Me That You Love Me, Junie Moon</t>
  </si>
  <si>
    <t>The Baby Maker</t>
  </si>
  <si>
    <t>The Ballad Of Tam Lin</t>
  </si>
  <si>
    <t>The Bird with the Crystal Plumage</t>
  </si>
  <si>
    <t>The Dunwich Horror</t>
  </si>
  <si>
    <t>The Girls From Thunder Strip</t>
  </si>
  <si>
    <t>The Hawaiians</t>
  </si>
  <si>
    <t>The Honeymoon Killers</t>
  </si>
  <si>
    <t>Crime</t>
  </si>
  <si>
    <t>The House That Dripped Blood</t>
  </si>
  <si>
    <t>The In-Laws</t>
  </si>
  <si>
    <t>The Man Who Haunted Himself</t>
  </si>
  <si>
    <t>The Molly Maguires</t>
  </si>
  <si>
    <t>The Naked Zoo</t>
  </si>
  <si>
    <t>The Only Game in Town</t>
  </si>
  <si>
    <t>The Owl And The Pussycat</t>
  </si>
  <si>
    <t>The Traveling Executioner</t>
  </si>
  <si>
    <t>The Vampire Lovers</t>
  </si>
  <si>
    <t>The Wizard of Gore</t>
  </si>
  <si>
    <t>Trog</t>
  </si>
  <si>
    <t>Valerie and Her Week of Wonders</t>
  </si>
  <si>
    <t>Watermelon Man</t>
  </si>
  <si>
    <t>Black Comedy / Satire / Race</t>
  </si>
  <si>
    <t>Wuthering Heights</t>
  </si>
  <si>
    <t>$</t>
  </si>
  <si>
    <t>200 Motels</t>
  </si>
  <si>
    <t>A Clockwork Orange</t>
  </si>
  <si>
    <t>A Lizard in a Woman's Skin</t>
  </si>
  <si>
    <t>Giallo / Psychological Thriller / Psychedelic</t>
  </si>
  <si>
    <t>A Lizard in a Woman's Skin/Schizoid</t>
  </si>
  <si>
    <t>Classic Hong Kong Martial Arts / Wuxia / King Hu / Arthouse Cult</t>
  </si>
  <si>
    <t>https://www.bfi.org.uk/lists/great-action-film-every-year-1924-now</t>
  </si>
  <si>
    <t>A Town Called Hell</t>
  </si>
  <si>
    <t>Beast of the Yellow Night</t>
  </si>
  <si>
    <t>Black Beauty</t>
  </si>
  <si>
    <t>Bunny O'Hare</t>
  </si>
  <si>
    <t>Carnal Knowledge</t>
  </si>
  <si>
    <t>Catlow</t>
  </si>
  <si>
    <t>Countess Dracula</t>
  </si>
  <si>
    <t>Daughters of Darkness</t>
  </si>
  <si>
    <t>Desperate Characters</t>
  </si>
  <si>
    <t>Duck, You Sucker!</t>
  </si>
  <si>
    <t>Spaghetti Western / Revolution / Revisionist Western</t>
  </si>
  <si>
    <t>Duck, You Sucker/ A Fistful of Dynamite</t>
  </si>
  <si>
    <t>Duel</t>
  </si>
  <si>
    <t>Made-for-TV Thriller / Road Terror / Minimalist Suspense</t>
  </si>
  <si>
    <t>Escape from the Planet of the Apes</t>
  </si>
  <si>
    <t>Flight Of The Doves</t>
  </si>
  <si>
    <t>Fools Parade</t>
  </si>
  <si>
    <t>Four Flies on Grey Velvet</t>
  </si>
  <si>
    <t>Fright</t>
  </si>
  <si>
    <t>Ginger</t>
  </si>
  <si>
    <t>Godzilla vs. Hedorah</t>
  </si>
  <si>
    <t>Kaiju / Eco Sci-Fi / Psychedelic Tokusatsu</t>
  </si>
  <si>
    <t>Cult Canon / Visual Cult / Cult Oddity</t>
  </si>
  <si>
    <t>Harold and Maude</t>
  </si>
  <si>
    <t>Dark Comedy / Comedy</t>
  </si>
  <si>
    <t>I Monster</t>
  </si>
  <si>
    <t>Johnny Got His Gun</t>
  </si>
  <si>
    <t>Lawman</t>
  </si>
  <si>
    <t>Le Mans</t>
  </si>
  <si>
    <t>Let's Scare Jessica to Death</t>
  </si>
  <si>
    <t>Psychological Horror / Subjective Horror / Gothic Horror</t>
  </si>
  <si>
    <t>Cult Canon / Rediscovered Cult</t>
  </si>
  <si>
    <t>https://www.bfi.org.uk/sight-and-sound/features/poll-position-praise-lets-scare-jessica-death</t>
  </si>
  <si>
    <t>Made for Each Other</t>
  </si>
  <si>
    <t>Mrs. Pollifax-Spy</t>
  </si>
  <si>
    <t>Murders In The Rue Morgue</t>
  </si>
  <si>
    <t>Murphy's War</t>
  </si>
  <si>
    <t>Nicholas and Alexandra</t>
  </si>
  <si>
    <t>Play Misty For Me</t>
  </si>
  <si>
    <t>Punishment Park</t>
  </si>
  <si>
    <t>Documentary</t>
  </si>
  <si>
    <t>Quest for Love</t>
  </si>
  <si>
    <t>Soleil Rouge/Red Sun</t>
  </si>
  <si>
    <t>Sometimes Aunt Martha Does Dreadful Things</t>
  </si>
  <si>
    <t>Stork</t>
  </si>
  <si>
    <t>Ozploitation / Ocker Comedy / Australian New Wave</t>
  </si>
  <si>
    <t>https://www.bfi.org.uk/features/fast-track-fandom-beginners-guide-through-ozploitation-movies</t>
  </si>
  <si>
    <t>Support Your Local Gunfighter</t>
  </si>
  <si>
    <t>Sweet Sweetback's Baadasssss Song</t>
  </si>
  <si>
    <t>The Abominable Dr. Phibes</t>
  </si>
  <si>
    <t>The Andromeda Strain</t>
  </si>
  <si>
    <t>Sci-Fi / Thriller</t>
  </si>
  <si>
    <t>The Beguiled</t>
  </si>
  <si>
    <t>The Big Boss</t>
  </si>
  <si>
    <t>Bruce Lee Anchor / Classic Kung Fu / Golden Harvest</t>
  </si>
  <si>
    <t>https://player.bfi.org.uk/subscription/film/watch-the-big-boss-1971-online</t>
  </si>
  <si>
    <t>The Big Doll House</t>
  </si>
  <si>
    <t>The Blood on Satan's Claw</t>
  </si>
  <si>
    <t>Folk Horror / Occult Horror</t>
  </si>
  <si>
    <t>https://www.bfi.org.uk/features/where-begin-with-folk-horror</t>
  </si>
  <si>
    <t>The Bridge in the Jungle</t>
  </si>
  <si>
    <t>The Case of the Scorpion's Tail</t>
  </si>
  <si>
    <t>Giallo / Murder Mystery / Eurocrime</t>
  </si>
  <si>
    <t>Genre Deep Cut / Cult Classic</t>
  </si>
  <si>
    <t>The Christmas Martian</t>
  </si>
  <si>
    <t>The Devils</t>
  </si>
  <si>
    <t>The Female Bunch</t>
  </si>
  <si>
    <t>The Hard Ride</t>
  </si>
  <si>
    <t>The Hospital</t>
  </si>
  <si>
    <t>The Hunting Party</t>
  </si>
  <si>
    <t>The Incredible 2-Headed Transplant</t>
  </si>
  <si>
    <t>The Last Movie</t>
  </si>
  <si>
    <t>Cult Oddity / Needs Genre Review</t>
  </si>
  <si>
    <t>The Mephisto Waltz</t>
  </si>
  <si>
    <t>The Omega Man</t>
  </si>
  <si>
    <t>The Shiver of the Vampires/Le Frisson des Vampires</t>
  </si>
  <si>
    <t>The Trojan Women</t>
  </si>
  <si>
    <t>The Velvet Vampire</t>
  </si>
  <si>
    <t>THX 1138</t>
  </si>
  <si>
    <t>Twins of Evil</t>
  </si>
  <si>
    <t>Two-Lane Blacktop</t>
  </si>
  <si>
    <t>Vampyros Lesbos</t>
  </si>
  <si>
    <t>Eurocult / Erotic Horror / Vampire / Psychedelic</t>
  </si>
  <si>
    <t>Cult Canon / Visual Cult / Soundtrack Cult</t>
  </si>
  <si>
    <t>Vanishing Point</t>
  </si>
  <si>
    <t>Ozploitation / Psychological Drama / Outback Cult</t>
  </si>
  <si>
    <t>Werewolves On Wheels</t>
  </si>
  <si>
    <t>Women In Cages</t>
  </si>
  <si>
    <t>43: The Richard Petty Story</t>
  </si>
  <si>
    <t>A Reason to Live, a Reason to Die</t>
  </si>
  <si>
    <t>Across 110th Street</t>
  </si>
  <si>
    <t>Asylum</t>
  </si>
  <si>
    <t>Beware! The Blob</t>
  </si>
  <si>
    <t>Blacula</t>
  </si>
  <si>
    <t>Blood Freak</t>
  </si>
  <si>
    <t>Buck and the Preacher</t>
  </si>
  <si>
    <t>Black Western / Adventure</t>
  </si>
  <si>
    <t>Bury Me an Angel</t>
  </si>
  <si>
    <t>Butterflies Are Free</t>
  </si>
  <si>
    <t>Cabaret</t>
  </si>
  <si>
    <t>Musical / Drama / Arthouse</t>
  </si>
  <si>
    <t>Caliber 9</t>
  </si>
  <si>
    <t>Poliziotteschi / Eurocrime / Noir</t>
  </si>
  <si>
    <t>https://en.wikipedia.org/wiki/Caliber_9</t>
  </si>
  <si>
    <t>Children Shouldn’t Play with Dead Things</t>
  </si>
  <si>
    <t>Conquest of the Planet of the Apes</t>
  </si>
  <si>
    <t>Dystopian Sci-Fi / Social Sci-Fi / Rebellion</t>
  </si>
  <si>
    <t>https://en.wikipedia.org/wiki/Conquest_of_the_Planet_of_the_Apes</t>
  </si>
  <si>
    <t>Cut-Throats Nine</t>
  </si>
  <si>
    <t>Spaghetti Western / Survival / Extreme Violence</t>
  </si>
  <si>
    <t>Cult Classic / Genre Deep Cut</t>
  </si>
  <si>
    <t>Deadhead Miles</t>
  </si>
  <si>
    <t>Demons of the Mind</t>
  </si>
  <si>
    <t>Female Prisoner #701: Scorpion</t>
  </si>
  <si>
    <t>Female Prisoner Scorpion: Jailhouse 41</t>
  </si>
  <si>
    <t>Fist of Fury</t>
  </si>
  <si>
    <t>Bruce Lee Anchor / Classic Kung Fu / Revenge / Golden Harvest</t>
  </si>
  <si>
    <t>https://player.bfi.org.uk/subscription/film/watch-fist-of-fury-1972-online</t>
  </si>
  <si>
    <t>Adult Animation / Counterculture / Satire</t>
  </si>
  <si>
    <t>https://www.imdb.com/title/tt0068612/</t>
  </si>
  <si>
    <t>Frogs</t>
  </si>
  <si>
    <t>Gargoyles</t>
  </si>
  <si>
    <t>Made-for-TV Horror / Creature Feature / Occult</t>
  </si>
  <si>
    <t>TV Cult / Creature Feature</t>
  </si>
  <si>
    <t>Hapkido</t>
  </si>
  <si>
    <t>Classic Kung Fu / Angela Mao / Golden Harvest / Female Martial Arts</t>
  </si>
  <si>
    <t>https://player.bfi.org.uk/subscription/film/watch-hapkido-1972-online</t>
  </si>
  <si>
    <t>Horror Express</t>
  </si>
  <si>
    <t>Hungry Wives/Season of the Witch</t>
  </si>
  <si>
    <t>Images</t>
  </si>
  <si>
    <t>Psychological Horror / Subjective Horror / Hallucinatory Reality</t>
  </si>
  <si>
    <t>Cult Classic / Genre Essential / Visual Cult</t>
  </si>
  <si>
    <t>https://www.bfi.org.uk/lists/10-great-american-films-1972</t>
  </si>
  <si>
    <t>Kansas City Bomber</t>
  </si>
  <si>
    <t>King Boxer</t>
  </si>
  <si>
    <t>Classic Kung Fu / Shaw Brothers / Grindhouse</t>
  </si>
  <si>
    <t>Grindhouse Favorite</t>
  </si>
  <si>
    <t>Lone Wolf and Cub: Baby Cart at the River Styx</t>
  </si>
  <si>
    <t>Made</t>
  </si>
  <si>
    <t>Melinda</t>
  </si>
  <si>
    <t>Night of Fear</t>
  </si>
  <si>
    <t>Proto-Slasher</t>
  </si>
  <si>
    <t>Night of the Cobra Woman</t>
  </si>
  <si>
    <t>Ooh… You Are Awful</t>
  </si>
  <si>
    <t>Pickup on 101</t>
  </si>
  <si>
    <t>Pink Angels</t>
  </si>
  <si>
    <t>Pink Flamingos</t>
  </si>
  <si>
    <t>Silent Night, Bloody Night</t>
  </si>
  <si>
    <t>Silent Running</t>
  </si>
  <si>
    <t>Eco Sci-Fi / Space Drama / Robot Companion</t>
  </si>
  <si>
    <t>https://en.wikipedia.org/wiki/Silent_Running</t>
  </si>
  <si>
    <t>Sitting Target</t>
  </si>
  <si>
    <t>Slaughter</t>
  </si>
  <si>
    <t>Sleuth</t>
  </si>
  <si>
    <t>Solaris</t>
  </si>
  <si>
    <t>Super Fly</t>
  </si>
  <si>
    <t>Sweet Sugar</t>
  </si>
  <si>
    <t>Tales from the Crypt</t>
  </si>
  <si>
    <t>Terror at Red Wolf Inn</t>
  </si>
  <si>
    <t>The Adventures of Barry McKenzie</t>
  </si>
  <si>
    <t>Ozploitation / Ocker Comedy / Satire</t>
  </si>
  <si>
    <t>The Blood Spattered Bride</t>
  </si>
  <si>
    <t>The Fury of the Wolfman</t>
  </si>
  <si>
    <t>The Gore Gore Girls</t>
  </si>
  <si>
    <t>The Italian Connection</t>
  </si>
  <si>
    <t>Poliziotteschi / Eurocrime / Gangster</t>
  </si>
  <si>
    <t>https://en.wikipedia.org/wiki/The_Italian_Connection</t>
  </si>
  <si>
    <t>The King of Marvin Gardens</t>
  </si>
  <si>
    <t>The Last House on the Left</t>
  </si>
  <si>
    <t>The Legend of Boggy Creek</t>
  </si>
  <si>
    <t>Pseudo-Documentary / Creature Horror / Regional Horror</t>
  </si>
  <si>
    <t>Regional Oddity</t>
  </si>
  <si>
    <t>The Night Stalker</t>
  </si>
  <si>
    <t>Vampire Horror / TV Horror</t>
  </si>
  <si>
    <t>The Other Side of the Underneath</t>
  </si>
  <si>
    <t>Experimental Psychological Horror / Psychosis / Feminist Underground</t>
  </si>
  <si>
    <t>Cult Oddity / Underground Landmark / Visual Cult</t>
  </si>
  <si>
    <t>https://shop.bfi.org.uk/the-other-side-of-the-underneath-dual-format-edition/</t>
  </si>
  <si>
    <t>The Rats Are Coming! The Werewolves Are Here!</t>
  </si>
  <si>
    <t>The Red Queen Kills Seven Times</t>
  </si>
  <si>
    <t>The Stone Tape</t>
  </si>
  <si>
    <t>Folk Horror / Supernatural Horror / TV Horror</t>
  </si>
  <si>
    <t>The Thing With Two Heads</t>
  </si>
  <si>
    <t>The Way of the Dragon</t>
  </si>
  <si>
    <t>Bruce Lee Anchor / Classic Kung Fu / Action Comedy / Golden Harvest</t>
  </si>
  <si>
    <t>https://player.bfi.org.uk/subscription/film/watch-way-of-the-dragon-1972-online</t>
  </si>
  <si>
    <t>The Wrath of God</t>
  </si>
  <si>
    <t>They Only Kill Their Masters</t>
  </si>
  <si>
    <t>Trick Baby</t>
  </si>
  <si>
    <t>Blaxploitation / Crime / Con-Artist</t>
  </si>
  <si>
    <t>Trouble Man</t>
  </si>
  <si>
    <t>Blaxploitation / Crime / Action</t>
  </si>
  <si>
    <t>Vampire Circus</t>
  </si>
  <si>
    <t>What the Peeper Saw</t>
  </si>
  <si>
    <t>Who Saw Her Die?</t>
  </si>
  <si>
    <t>Giallo / Psychological Thriller / Venice Mystery</t>
  </si>
  <si>
    <t>Genre Deep Cut / Forgotten Gem</t>
  </si>
  <si>
    <t>X, Y and Zee</t>
  </si>
  <si>
    <t>You'll Like My Mother</t>
  </si>
  <si>
    <t>A Name For Evil</t>
  </si>
  <si>
    <t>A Warm December</t>
  </si>
  <si>
    <t>Ace Eli and Rodger of the Skies</t>
  </si>
  <si>
    <t>Alvin Purple</t>
  </si>
  <si>
    <t>Ozploitation / Ocker Comedy / Sex Comedy</t>
  </si>
  <si>
    <t>And Now the Screaming Starts!</t>
  </si>
  <si>
    <t>Arnold</t>
  </si>
  <si>
    <t>Badlands</t>
  </si>
  <si>
    <t>Baffled!</t>
  </si>
  <si>
    <t>Battle for the Planet of the Apes</t>
  </si>
  <si>
    <t>Post-Apocalyptic Sci-Fi / Franchise / Social Sci-Fi</t>
  </si>
  <si>
    <t>Franchise Deep Cut / Completion</t>
  </si>
  <si>
    <t>https://en.wikipedia.org/wiki/Battle_for_the_Planet_of_the_Apes</t>
  </si>
  <si>
    <t>Adult Animation / Psychedelic / Arthouse</t>
  </si>
  <si>
    <t>https://www.bfi.org.uk/sight-and-sound/lists/50-key-anime-films</t>
  </si>
  <si>
    <t>Beyond Atlantis</t>
  </si>
  <si>
    <t>Black Caesar</t>
  </si>
  <si>
    <t>Blaxploitation / Crime / Gangster</t>
  </si>
  <si>
    <t>Blume in Love</t>
  </si>
  <si>
    <t>Bummer</t>
  </si>
  <si>
    <t>Cleopatra Jones</t>
  </si>
  <si>
    <t>Blaxploitation / Action / Crime</t>
  </si>
  <si>
    <t>Blaxploitation / Action / Revenge</t>
  </si>
  <si>
    <t>Count Dracula's Great Love</t>
  </si>
  <si>
    <t>Detroit 9000</t>
  </si>
  <si>
    <t>Blaxploitation / Crime / Police</t>
  </si>
  <si>
    <t>Don't Be Afraid of the Dark</t>
  </si>
  <si>
    <t>Made-for-TV Horror / Supernatural Horror / Creature Horror</t>
  </si>
  <si>
    <t>TV Cult / Cult Classic</t>
  </si>
  <si>
    <t>Don't Look in the Basement</t>
  </si>
  <si>
    <t>Don't Look Now</t>
  </si>
  <si>
    <t>Psychological Horror / Grief Horror / Supernatural Ambiguity</t>
  </si>
  <si>
    <t>Electra Glide in Blue</t>
  </si>
  <si>
    <t>Biker Crime / Road Movie / Revisionist Cop Film</t>
  </si>
  <si>
    <t>Cult Classic / Time Capsule</t>
  </si>
  <si>
    <t>Encounter with the Unknown</t>
  </si>
  <si>
    <t>Bruce Lee Anchor / Martial Arts / International Cult Canon</t>
  </si>
  <si>
    <t>Cult Canon / Canon Anchor / Grindhouse Favorite</t>
  </si>
  <si>
    <t>https://www.bfi.org.uk/lists/eight-great-last-performances</t>
  </si>
  <si>
    <t>Adult Animation / Psychedelic Sci-Fi / Arthouse</t>
  </si>
  <si>
    <t>https://player.bfi.org.uk/subscription/film/watch-fantastic-planet-1973-online</t>
  </si>
  <si>
    <t>Flesh for Frankenstein</t>
  </si>
  <si>
    <t>Fly Me</t>
  </si>
  <si>
    <t>Fox Style</t>
  </si>
  <si>
    <t>Ganja &amp; Hess</t>
  </si>
  <si>
    <t>Independent Horror</t>
  </si>
  <si>
    <t>Adult Animation / Urban Satire / Transgressive</t>
  </si>
  <si>
    <t>https://www.imdb.com/title/tt0070165/</t>
  </si>
  <si>
    <t>Hell Up in Harlem</t>
  </si>
  <si>
    <t>High Crime</t>
  </si>
  <si>
    <t>Poliziotteschi / Eurocrime / Police Action</t>
  </si>
  <si>
    <t>https://en.wikipedia.org/wiki/High_Crime</t>
  </si>
  <si>
    <t>Invasion Of The Bee Girls</t>
  </si>
  <si>
    <t>Jeremy</t>
  </si>
  <si>
    <t>Jesus Christ Superstar</t>
  </si>
  <si>
    <t>Rock Musical / Drama</t>
  </si>
  <si>
    <t>Soundtrack Cult</t>
  </si>
  <si>
    <t>Lost Horizon</t>
  </si>
  <si>
    <t>Messiah of Evil</t>
  </si>
  <si>
    <t>Psychomania</t>
  </si>
  <si>
    <t>Biker Horror / Occult / British Exploitation</t>
  </si>
  <si>
    <t>Cult Canon / Cult Oddity</t>
  </si>
  <si>
    <t>Savage</t>
  </si>
  <si>
    <t>Scarecrow</t>
  </si>
  <si>
    <t>Scream Blacula Scream</t>
  </si>
  <si>
    <t>Vampire Horror</t>
  </si>
  <si>
    <t>Sisters</t>
  </si>
  <si>
    <t>Psychological Horror / Doppelgänger Horror / Thriller</t>
  </si>
  <si>
    <t>Cult Canon / Identity Horror</t>
  </si>
  <si>
    <t>Soylent Green</t>
  </si>
  <si>
    <t>Summer Wishes, Winter Dreams</t>
  </si>
  <si>
    <t>Tales That Witness Madness</t>
  </si>
  <si>
    <t>Terror in the Wax Museum</t>
  </si>
  <si>
    <t>That'll Be the Day</t>
  </si>
  <si>
    <t>The Amazons/War Goddess</t>
  </si>
  <si>
    <t>The Amusement Park</t>
  </si>
  <si>
    <t>The Baby</t>
  </si>
  <si>
    <t>The Big Game</t>
  </si>
  <si>
    <t>The Boss</t>
  </si>
  <si>
    <t>Poliziotteschi / Eurocrime / Mafia</t>
  </si>
  <si>
    <t>https://en.wikipedia.org/wiki/Il_Boss</t>
  </si>
  <si>
    <t>The Crazies</t>
  </si>
  <si>
    <t>The Devil's Wedding Night</t>
  </si>
  <si>
    <t>The Holy Mountain</t>
  </si>
  <si>
    <t>The House In Nightmare Park</t>
  </si>
  <si>
    <t>The Last Detail</t>
  </si>
  <si>
    <t>The Legend of Hell House</t>
  </si>
  <si>
    <t>The Long Goodbye</t>
  </si>
  <si>
    <t>The Mack</t>
  </si>
  <si>
    <t>Blaxploitation / Crime / Street Drama</t>
  </si>
  <si>
    <t>The Mansion of Madness</t>
  </si>
  <si>
    <t>The Norliss Tapes</t>
  </si>
  <si>
    <t>Made-for-TV Horror / Occult Mystery / Pilot Oddity</t>
  </si>
  <si>
    <t>The Pirate/Da hai dao</t>
  </si>
  <si>
    <t>The Pyx</t>
  </si>
  <si>
    <t>The Sting</t>
  </si>
  <si>
    <t>The Train Robbers</t>
  </si>
  <si>
    <t>The Twilight People</t>
  </si>
  <si>
    <t>The Vault of Horror</t>
  </si>
  <si>
    <t>The Werewolf of Washington</t>
  </si>
  <si>
    <t>The Wicker Man</t>
  </si>
  <si>
    <t>Theatre of Blood</t>
  </si>
  <si>
    <t>Westworld</t>
  </si>
  <si>
    <t>Wicked Wicked</t>
  </si>
  <si>
    <t>Willie Dynamite</t>
  </si>
  <si>
    <t>Wonder Women</t>
  </si>
  <si>
    <t>Young Hannah, Queen of the Vampire/Crypt of the Living Dead</t>
  </si>
  <si>
    <t>Your Three Minutes Are Up</t>
  </si>
  <si>
    <t>A Quiet Day in Belfast</t>
  </si>
  <si>
    <t>Abby</t>
  </si>
  <si>
    <t>Act Of Vengeance</t>
  </si>
  <si>
    <t>Almost Human</t>
  </si>
  <si>
    <t>Poliziotteschi / Eurocrime / Serial Criminal / Nihilistic Cult</t>
  </si>
  <si>
    <t>https://en.wikipedia.org/wiki/Poliziotteschi</t>
  </si>
  <si>
    <t>Bad Ronald</t>
  </si>
  <si>
    <t>Made-for-TV Thriller / Psychological Horror / Hidden-Room Horror</t>
  </si>
  <si>
    <t>Benji</t>
  </si>
  <si>
    <t>Big Bad Mama</t>
  </si>
  <si>
    <t>Black Belt Jones</t>
  </si>
  <si>
    <t>Blaxploitation / Martial Arts / Action</t>
  </si>
  <si>
    <t>Black Christmas</t>
  </si>
  <si>
    <t>Black Streetfighter/Black Fist</t>
  </si>
  <si>
    <t>Blueblood</t>
  </si>
  <si>
    <t>Captain Kronos: Vampire Hunter</t>
  </si>
  <si>
    <t>Claudine</t>
  </si>
  <si>
    <t>Black Cinema / Romance / Comedy-Drama</t>
  </si>
  <si>
    <t>Craze</t>
  </si>
  <si>
    <t>Dark Star</t>
  </si>
  <si>
    <t>Death Wish</t>
  </si>
  <si>
    <t>Vigilante Thriller / Urban Crime / Revenge</t>
  </si>
  <si>
    <t>Deathdream</t>
  </si>
  <si>
    <t>Deathdream/Dead Of Night</t>
  </si>
  <si>
    <t>Deranged</t>
  </si>
  <si>
    <t>Carsploitation / Road Movie / Crime</t>
  </si>
  <si>
    <t>Drive-In Classic / Genre Essential</t>
  </si>
  <si>
    <t>Don't Open the Door/Hang Up</t>
  </si>
  <si>
    <t>Emmanuelle</t>
  </si>
  <si>
    <t>Erotic Drama / Eurocult / Softcore Landmark</t>
  </si>
  <si>
    <t>Female Trouble</t>
  </si>
  <si>
    <t>Five Shaolin Masters/ 5 Masters Of Death</t>
  </si>
  <si>
    <t>Flesh Gordon</t>
  </si>
  <si>
    <t>Foxy Brown</t>
  </si>
  <si>
    <t>Frightmare</t>
  </si>
  <si>
    <t>Gator Bait</t>
  </si>
  <si>
    <t>Godzilla vs. Mechagodzilla</t>
  </si>
  <si>
    <t>Kaiju / Robot Sci-Fi / Tokusatsu</t>
  </si>
  <si>
    <t>Hangup</t>
  </si>
  <si>
    <t>Harry And Tonto</t>
  </si>
  <si>
    <t>Holy Wednesday/Fangs</t>
  </si>
  <si>
    <t>Honeybaby, Honeybaby</t>
  </si>
  <si>
    <t>Inserts</t>
  </si>
  <si>
    <t>It's Alive</t>
  </si>
  <si>
    <t>Killdozer!</t>
  </si>
  <si>
    <t>Made-for-TV Sci-Fi Horror / Killer Machine / Construction Oddity</t>
  </si>
  <si>
    <t>TV Cult / Cult Oddity / So-Bad-It's-Good</t>
  </si>
  <si>
    <t>Lenny</t>
  </si>
  <si>
    <t>Lost in the Stars</t>
  </si>
  <si>
    <t>Madhouse</t>
  </si>
  <si>
    <t>Old Dracula/Vampira</t>
  </si>
  <si>
    <t>Penda's Fen</t>
  </si>
  <si>
    <t>Phantom Of The Paradise</t>
  </si>
  <si>
    <t>Phase IV</t>
  </si>
  <si>
    <t>Seizure</t>
  </si>
  <si>
    <t>Ozploitation / Biker / Crime</t>
  </si>
  <si>
    <t>Street Law</t>
  </si>
  <si>
    <t>Sugar Hill</t>
  </si>
  <si>
    <t>Symptoms</t>
  </si>
  <si>
    <t>Psychological Horror / Gothic Horror / Subjective Reality</t>
  </si>
  <si>
    <t>Forgotten Gem / Rediscovered Cult / Preservation Essential</t>
  </si>
  <si>
    <t>https://www.bfi.org.uk/film/1402c287-2e0a-5f86-85a1-fcb21916ae54/symptoms</t>
  </si>
  <si>
    <t>The Arena</t>
  </si>
  <si>
    <t>The Bat People</t>
  </si>
  <si>
    <t>The Cars That Ate Paris</t>
  </si>
  <si>
    <t>The Dove</t>
  </si>
  <si>
    <t>The Gambler</t>
  </si>
  <si>
    <t>The Legend Of The 7 Golden Vampires</t>
  </si>
  <si>
    <t>The Living Dead at Manchester Morgue</t>
  </si>
  <si>
    <t>Zombie Horror</t>
  </si>
  <si>
    <t>The Longest Yard</t>
  </si>
  <si>
    <t>The Nine Lives of Fritz the Cat</t>
  </si>
  <si>
    <t>Adult Animation / Satire / Stoner / Sequel</t>
  </si>
  <si>
    <t>https://www.imdb.com/title/tt0071913/</t>
  </si>
  <si>
    <t>The Sugarland Express</t>
  </si>
  <si>
    <t>The Texas Chain Saw Massacre</t>
  </si>
  <si>
    <t>Proto-Slasher / Backwoods Horror</t>
  </si>
  <si>
    <t>The Towering Inferno</t>
  </si>
  <si>
    <t>Three the Hard Way</t>
  </si>
  <si>
    <t>Blaxploitation / Action / Buddy</t>
  </si>
  <si>
    <t>Truck Stop Women</t>
  </si>
  <si>
    <t>Truck Turner</t>
  </si>
  <si>
    <t>Uptown Saturday Night</t>
  </si>
  <si>
    <t>Black Comedy / Crime / Buddy</t>
  </si>
  <si>
    <t>Voodoo Black Exorcist</t>
  </si>
  <si>
    <t>Zardoz</t>
  </si>
  <si>
    <t>92 in the Shade</t>
  </si>
  <si>
    <t>A Boy and His Dog</t>
  </si>
  <si>
    <t>Post-Apocalyptic / Dark Comedy</t>
  </si>
  <si>
    <t>Bad, Black and Beautiful</t>
  </si>
  <si>
    <t>Barry Lyndon</t>
  </si>
  <si>
    <t>Cooley High</t>
  </si>
  <si>
    <t>Black Cinema / Coming-of-age / Comedy-Drama</t>
  </si>
  <si>
    <t>Adult Animation / Satire / Blaxploitation Deconstruction</t>
  </si>
  <si>
    <t>https://www.bfi.org.uk/lists/10-great-blaxploitation-movies</t>
  </si>
  <si>
    <t>Deafula</t>
  </si>
  <si>
    <t>Death Race 2000</t>
  </si>
  <si>
    <t>Deep Red</t>
  </si>
  <si>
    <t>Dersu Uzala</t>
  </si>
  <si>
    <t>Dolemite</t>
  </si>
  <si>
    <t>Blaxploitation / Comedy / Martial Arts</t>
  </si>
  <si>
    <t>End Play</t>
  </si>
  <si>
    <t>Ozploitation / Thriller / Mystery</t>
  </si>
  <si>
    <t>https://www.nfsa.gov.au/stories/articles/survey-australian-horror-films-1970s-saw-and-babadook</t>
  </si>
  <si>
    <t>Four of the Apocalypse</t>
  </si>
  <si>
    <t>Funny Lady</t>
  </si>
  <si>
    <t>Grey Gardens</t>
  </si>
  <si>
    <t>Documentary / Eccentric Americana / Direct Cinema</t>
  </si>
  <si>
    <t>Canon Anchor / Cult Documentary</t>
  </si>
  <si>
    <t>Hearts of the West</t>
  </si>
  <si>
    <t>Ilsa, She Wolf of the SS</t>
  </si>
  <si>
    <t>Nazisploitation / Sexploitation / Exploitation Horror</t>
  </si>
  <si>
    <t>Notorious Cult / Banned / Controversial</t>
  </si>
  <si>
    <t>Kiss of the Tarantula</t>
  </si>
  <si>
    <t>Let's Do It Again</t>
  </si>
  <si>
    <t>Lisztomania</t>
  </si>
  <si>
    <t>Comedy / Camp / Music</t>
  </si>
  <si>
    <t>Monty Python and the Holy Grail</t>
  </si>
  <si>
    <t>Absurdist Comedy / Parody</t>
  </si>
  <si>
    <t>Morel's Invention</t>
  </si>
  <si>
    <t>Nashville</t>
  </si>
  <si>
    <t>Music / Drama / Ensemble</t>
  </si>
  <si>
    <t>Australian New Wave / Arthouse / Mystery</t>
  </si>
  <si>
    <t>Race with the Devil</t>
  </si>
  <si>
    <t>Rafferty and the Gold Dust Twins</t>
  </si>
  <si>
    <t>Rollerball</t>
  </si>
  <si>
    <t>Rooster Cogburn</t>
  </si>
  <si>
    <t>Royal Flash</t>
  </si>
  <si>
    <t>Sharks Treasure</t>
  </si>
  <si>
    <t>Shivers</t>
  </si>
  <si>
    <t>Body Horror / Parasite Horror</t>
  </si>
  <si>
    <t>Slade in Flame</t>
  </si>
  <si>
    <t>Music / Rock / Drama</t>
  </si>
  <si>
    <t>Supervixens</t>
  </si>
  <si>
    <t>Sexploitation / Black Comedy / Russ Meyer</t>
  </si>
  <si>
    <t>Cult Canon / Camp Classic</t>
  </si>
  <si>
    <t>Switchblade Sisters</t>
  </si>
  <si>
    <t>The Day of the Locust</t>
  </si>
  <si>
    <t>The Devil Within Her</t>
  </si>
  <si>
    <t>The Devil's Cleavage</t>
  </si>
  <si>
    <t>The Devil's Rain</t>
  </si>
  <si>
    <t>Occult Horror / Horror Comedy</t>
  </si>
  <si>
    <t>The Flying Guillotine</t>
  </si>
  <si>
    <t>Classic Kung Fu / Shaw Brothers / Weapon Cult / Exploitation</t>
  </si>
  <si>
    <t>The Giant Spider Invasion</t>
  </si>
  <si>
    <t>Regional Sci-Fi Horror / Giant Creature / Drive-In</t>
  </si>
  <si>
    <t>Drive-In Classic / So-Bad-It's-Good / Creature Feature</t>
  </si>
  <si>
    <t>https://en.wikipedia.org/wiki/The_Giant_Spider_Invasion</t>
  </si>
  <si>
    <t>Ozploitation / Martial Arts / Action / Stunt Cult</t>
  </si>
  <si>
    <t>https://www.nfsa.gov.au/stories/articles/ozploitation-films-1970s-and-1980s</t>
  </si>
  <si>
    <t>The Rocky Horror Picture Show</t>
  </si>
  <si>
    <t>Surreal / Camp / Artificial Stage World / Musical</t>
  </si>
  <si>
    <t>https://www.bfi.org.uk/lists/top-your-watchlist-23-cult-films-1980s</t>
  </si>
  <si>
    <t>The Spiral Staircase</t>
  </si>
  <si>
    <t>The Spiritual Boxer</t>
  </si>
  <si>
    <t>Classic Kung Fu / Shaw Brothers / Comedy / Lau Kar-leung</t>
  </si>
  <si>
    <t>The Stepford Wives</t>
  </si>
  <si>
    <t>The True Story of Eskimo Nell</t>
  </si>
  <si>
    <t>Ozploitation / Ocker Comedy / Adventure</t>
  </si>
  <si>
    <t>The Ultimate Warrior</t>
  </si>
  <si>
    <t>Post-Apocalyptic / Survival / Action</t>
  </si>
  <si>
    <t>Tommy</t>
  </si>
  <si>
    <t>Rock Musical / Psychedelic</t>
  </si>
  <si>
    <t>Soundtrack Cult / Visual Cult</t>
  </si>
  <si>
    <t>Trilogy of Terror</t>
  </si>
  <si>
    <t>Made-for-TV Horror / Anthology / Creature Horror</t>
  </si>
  <si>
    <t>TV Cult / Genre Essential / Creature Feature</t>
  </si>
  <si>
    <t>Trucker's Woman</t>
  </si>
  <si>
    <t>Violent Rome</t>
  </si>
  <si>
    <t>Poliziotteschi / Eurocrime / Vigilante Cop</t>
  </si>
  <si>
    <t>White Line Fever</t>
  </si>
  <si>
    <t>Truckersploitation / Road Action / Working-Class Revenge</t>
  </si>
  <si>
    <t>Drive-In Classic / VHS Classic</t>
  </si>
  <si>
    <t>Zorro</t>
  </si>
  <si>
    <t>Aces High</t>
  </si>
  <si>
    <t>Alice, Sweet Alice</t>
  </si>
  <si>
    <t>Slasher / Religious Horror</t>
  </si>
  <si>
    <t>Apple Pie</t>
  </si>
  <si>
    <t>Assault on Precinct 13</t>
  </si>
  <si>
    <t>Action</t>
  </si>
  <si>
    <t>Bittersweet Love</t>
  </si>
  <si>
    <t>Black Samurai</t>
  </si>
  <si>
    <t>Bloodsucking Freaks</t>
  </si>
  <si>
    <t>Bruce Lee Fights Back from the Grave</t>
  </si>
  <si>
    <t>Bruceploitation / Exploitation Marketing / Kung Fu Cult</t>
  </si>
  <si>
    <t>https://en.wikipedia.org/wiki/Bruce_Lee_Fights_Back_from_the_Grave</t>
  </si>
  <si>
    <t>Bugsy Malone</t>
  </si>
  <si>
    <t>Burnt Offerings</t>
  </si>
  <si>
    <t>Psychological Horror / Haunted House / Possession</t>
  </si>
  <si>
    <t>Genre Deep Cut / Slow-Burn Cult</t>
  </si>
  <si>
    <t>Car Wash</t>
  </si>
  <si>
    <t>Black Ensemble Comedy / Music</t>
  </si>
  <si>
    <t>Cat Murkil and the Silks</t>
  </si>
  <si>
    <t>Deathcheaters</t>
  </si>
  <si>
    <t>Ozploitation / Action / Stunt Film</t>
  </si>
  <si>
    <t>https://www.nfsa.gov.au/collection/item/not-quite-hollywood-grant-page-and-man-hong-kong</t>
  </si>
  <si>
    <t>Devil's Express</t>
  </si>
  <si>
    <t>Drive-In</t>
  </si>
  <si>
    <t>Drive-In Massacre</t>
  </si>
  <si>
    <t>Ebony Ivory &amp; Jade/She Devils in Chains</t>
  </si>
  <si>
    <t>Eraserhead</t>
  </si>
  <si>
    <t>Surreal / Industrial Liminal / Dream Logic</t>
  </si>
  <si>
    <t>Exit the Dragon, Enter the Tiger</t>
  </si>
  <si>
    <t>Bruceploitation / Bruce Li / Kung Fu Exploitation</t>
  </si>
  <si>
    <t>https://en.wikipedia.org/wiki/Exit_the_Dragon,_Enter_the_Tiger</t>
  </si>
  <si>
    <t>Family Enforcer/The Death Collector</t>
  </si>
  <si>
    <t>Fantasm</t>
  </si>
  <si>
    <t>Ozploitation / Adult Comedy / Anthology</t>
  </si>
  <si>
    <t>Futureworld</t>
  </si>
  <si>
    <t>Gable And Lombard</t>
  </si>
  <si>
    <t>God Told Me To</t>
  </si>
  <si>
    <t>Grizzly</t>
  </si>
  <si>
    <t>Eco / Creature Horror</t>
  </si>
  <si>
    <t>Gus</t>
  </si>
  <si>
    <t>Harlan County, USA</t>
  </si>
  <si>
    <t>Documentary / Labor / Direct Cinema</t>
  </si>
  <si>
    <t>Keoma</t>
  </si>
  <si>
    <t>Spaghetti Western / Post-Classical Western / Revenge</t>
  </si>
  <si>
    <t>King Kong</t>
  </si>
  <si>
    <t>Lipstick</t>
  </si>
  <si>
    <t>Live Like a Cop, Die Like a Man</t>
  </si>
  <si>
    <t>Poliziotteschi / Eurocrime / Rogue Cops</t>
  </si>
  <si>
    <t>Logan's Run</t>
  </si>
  <si>
    <t>Dystopian Sci-Fi / Retro-Futurism / Social Sci-Fi</t>
  </si>
  <si>
    <t>Canon Anchor / Visual Cult</t>
  </si>
  <si>
    <t>https://en.wikipedia.org/wiki/Logan%27s_Run_(film)</t>
  </si>
  <si>
    <t>Mad Dog Morgan</t>
  </si>
  <si>
    <t>Ozploitation / Bushranger / Crime</t>
  </si>
  <si>
    <t>Massacre at Central High</t>
  </si>
  <si>
    <t>Master of the Flying Guillotine</t>
  </si>
  <si>
    <t>Classic Kung Fu / Tournament / Weapon Cult / Grindhouse</t>
  </si>
  <si>
    <t>Grindhouse Favorite / Cult Oddity</t>
  </si>
  <si>
    <t>https://www.bfi.org.uk/lists/10-great-kung-fu-films</t>
  </si>
  <si>
    <t>Never Too Young to Rock</t>
  </si>
  <si>
    <t>Music / Glam Rock</t>
  </si>
  <si>
    <t>Robin And Marian</t>
  </si>
  <si>
    <t>Rome Armed to the Teeth</t>
  </si>
  <si>
    <t>Rudolph's Shiny New Year</t>
  </si>
  <si>
    <t>Salon Kitty</t>
  </si>
  <si>
    <t>Eurocult / Erotic War Drama / Nazisploitation</t>
  </si>
  <si>
    <t>Controversial Cult / Visual Cult</t>
  </si>
  <si>
    <t>Satan's Slave</t>
  </si>
  <si>
    <t>Shadow of the Hawk</t>
  </si>
  <si>
    <t>Shaolin Temple</t>
  </si>
  <si>
    <t>Classic Kung Fu / Shaw Brothers / Shaolin Cycle / Chang Cheh</t>
  </si>
  <si>
    <t>Sparkle</t>
  </si>
  <si>
    <t>Music / Drama / Soul</t>
  </si>
  <si>
    <t>Squirm</t>
  </si>
  <si>
    <t>The Big Bus</t>
  </si>
  <si>
    <t>The Big Racket</t>
  </si>
  <si>
    <t>Poliziotteschi / Eurocrime / Vigilante / Action Cult</t>
  </si>
  <si>
    <t>The Bingo Long Traveling All-Stars &amp; Motor Kings</t>
  </si>
  <si>
    <t>Black Comedy / Sports / Period</t>
  </si>
  <si>
    <t>The Devil's Kiss</t>
  </si>
  <si>
    <t>The Food of the Gods</t>
  </si>
  <si>
    <t>The Grim Reaper</t>
  </si>
  <si>
    <t>The Gumball Rally</t>
  </si>
  <si>
    <t>The House with Laughing Windows</t>
  </si>
  <si>
    <t>Giallo / Rural Mystery / Folk Horror</t>
  </si>
  <si>
    <t>The Human Tornado</t>
  </si>
  <si>
    <t>The Killing of a Chinese Bookie</t>
  </si>
  <si>
    <t>The Little Girl Who Lives Down the Lane</t>
  </si>
  <si>
    <t>Thriller</t>
  </si>
  <si>
    <t>The Man Who Fell to Earth</t>
  </si>
  <si>
    <t>The Omen</t>
  </si>
  <si>
    <t>The Sell Out</t>
  </si>
  <si>
    <t>The Tenant</t>
  </si>
  <si>
    <t>Psychological Horror / Apartment Horror / Identity Horror</t>
  </si>
  <si>
    <t>Cult Canon / Genre Essential / Urban Paranoia</t>
  </si>
  <si>
    <t>https://whatson.bfi.org.uk/Online/default.asp?BOparam%3A%3AWScontent%3A%3AloadArticle%3A%3Apermalink=tenant</t>
  </si>
  <si>
    <t>The Town That Dreaded Sundown</t>
  </si>
  <si>
    <t>Regional Oddity / Genre Foundation</t>
  </si>
  <si>
    <t>Things to Come</t>
  </si>
  <si>
    <t>Track of the Moon Beast</t>
  </si>
  <si>
    <t>3 Women</t>
  </si>
  <si>
    <t>Psychological Surrealism / Identity Horror / Dream Logic</t>
  </si>
  <si>
    <t>Genre Deep Cut / Visual Cult / Identity Cinema</t>
  </si>
  <si>
    <t>A Little Night Music</t>
  </si>
  <si>
    <t>ABBA: The Movie</t>
  </si>
  <si>
    <t>Blue Sunshine</t>
  </si>
  <si>
    <t>Bobby Deerfield</t>
  </si>
  <si>
    <t>Checkered Flag or Crash</t>
  </si>
  <si>
    <t>Close Encounters of the Third Kind</t>
  </si>
  <si>
    <t>Damnation Alley</t>
  </si>
  <si>
    <t>Post-Apocalyptic / Road Movie / Sci-Fi</t>
  </si>
  <si>
    <t>Death Bed: The Bed That Eats</t>
  </si>
  <si>
    <t>Outsider Horror / Surreal Regional / Killer Object</t>
  </si>
  <si>
    <t>Cult Oddity / Regional Oddity / Psychotronic</t>
  </si>
  <si>
    <t>https://en.wikipedia.org/wiki/Death_Bed:_The_Bed_That_Eats</t>
  </si>
  <si>
    <t>Death Promise</t>
  </si>
  <si>
    <t>Demon Seed</t>
  </si>
  <si>
    <t>Desperate Living</t>
  </si>
  <si>
    <t>Queer Underground / John Waters / Camp</t>
  </si>
  <si>
    <t>Camp Classic / Genre Essential / Forgotten Gem</t>
  </si>
  <si>
    <t>https://www.bfi.org.uk/interviews/john-waters-restoring-hairspray-desperate-living-mistakes-are-part-charm</t>
  </si>
  <si>
    <t>https://www.criterion.com/current/posts/583-brand-upon-the-brain-out-of-the-past</t>
  </si>
  <si>
    <t>For The Love Of Benji</t>
  </si>
  <si>
    <t>Grand Theft Auto</t>
  </si>
  <si>
    <t>Heroes</t>
  </si>
  <si>
    <t>House</t>
  </si>
  <si>
    <t>Psychedelic Horror / Supernatural Horror</t>
  </si>
  <si>
    <t>House / Hausu</t>
  </si>
  <si>
    <t>Joyride</t>
  </si>
  <si>
    <t>Julia</t>
  </si>
  <si>
    <t>Kingdom Of The Spiders</t>
  </si>
  <si>
    <t>Looking for Mr. Goodbar</t>
  </si>
  <si>
    <t>Martin</t>
  </si>
  <si>
    <t>Vampire Horror / Psychological Horror</t>
  </si>
  <si>
    <t>New York, New York</t>
  </si>
  <si>
    <t>Oh God!</t>
  </si>
  <si>
    <t>Orca</t>
  </si>
  <si>
    <t>Petey Wheatstraw</t>
  </si>
  <si>
    <t>Rabid</t>
  </si>
  <si>
    <t>Rollercoaster</t>
  </si>
  <si>
    <t>Rolling Thunder</t>
  </si>
  <si>
    <t>Saturday Night Fever</t>
  </si>
  <si>
    <t>Dance / Disco / Drama</t>
  </si>
  <si>
    <t>Shock Waves</t>
  </si>
  <si>
    <t>Sinbad And The Eye Of The Tiger</t>
  </si>
  <si>
    <t>Slithis</t>
  </si>
  <si>
    <t>Regional Oddity / Creature Feature</t>
  </si>
  <si>
    <t>Sorcerer</t>
  </si>
  <si>
    <t>Starship Invasions</t>
  </si>
  <si>
    <t>Suspiria</t>
  </si>
  <si>
    <t>Supernatural Horror / Occult Horror / Giallo-Adjacent</t>
  </si>
  <si>
    <t>Telefon</t>
  </si>
  <si>
    <t>The Brain Machine</t>
  </si>
  <si>
    <t>The Car</t>
  </si>
  <si>
    <t>Carsploitation / Supernatural Horror / Killer Vehicle</t>
  </si>
  <si>
    <t>Cult Classic / Creature Feature</t>
  </si>
  <si>
    <t>The Dragon Lives Again</t>
  </si>
  <si>
    <t>Bruceploitation / Fantasy / Martial-Arts Oddity</t>
  </si>
  <si>
    <t>https://en.wikipedia.org/wiki/The_Dragon_Lives_Again</t>
  </si>
  <si>
    <t>The Heroin Busters</t>
  </si>
  <si>
    <t>Poliziotteschi / Eurocrime / Narcotics / Action Cult</t>
  </si>
  <si>
    <t>The Hills Have Eyes</t>
  </si>
  <si>
    <t>The Incredible Melting Man</t>
  </si>
  <si>
    <t>Sci-Fi Horror / Body Horror / Exploitation</t>
  </si>
  <si>
    <t>Cult Canon / Practical FX Showcase / Cult Oddity</t>
  </si>
  <si>
    <t>https://en.wikipedia.org/wiki/The_Incredible_Melting_Man</t>
  </si>
  <si>
    <t>The Kentucky Fried Movie</t>
  </si>
  <si>
    <t>Sketch Comedy / Spoof</t>
  </si>
  <si>
    <t>Australian New Wave / Arthouse / Supernatural</t>
  </si>
  <si>
    <t>The Man from Harlem</t>
  </si>
  <si>
    <t>Dark Family / Animation / Existential</t>
  </si>
  <si>
    <t>https://www.bfi.org.uk/lists/10-great-dark-kids-films</t>
  </si>
  <si>
    <t>The Prince and the Pauper</t>
  </si>
  <si>
    <t>The Ransom/Assault in Paradise</t>
  </si>
  <si>
    <t>The Sentinel</t>
  </si>
  <si>
    <t>Which Way Is Up?</t>
  </si>
  <si>
    <t>Black Comedy / Satire</t>
  </si>
  <si>
    <t>Why Shoot The Teacher?</t>
  </si>
  <si>
    <t>Adult Animation / Sci-Fi Fantasy / Post-Apocalyptic</t>
  </si>
  <si>
    <t>https://www.bfi.org.uk/lists/10-great-animated-fantasy-films</t>
  </si>
  <si>
    <t>You Light Up My Life</t>
  </si>
  <si>
    <t>A Dream Of Passion</t>
  </si>
  <si>
    <t>Animal House</t>
  </si>
  <si>
    <t>College Comedy / Raunch</t>
  </si>
  <si>
    <t>Avalanche</t>
  </si>
  <si>
    <t>Big Wednesday</t>
  </si>
  <si>
    <t>Blue Collar</t>
  </si>
  <si>
    <t>Black Cinema / Crime / Working-Class Drama</t>
  </si>
  <si>
    <t>Crippled Avengers</t>
  </si>
  <si>
    <t>Classic Kung Fu / Shaw Brothers / Venom Mob</t>
  </si>
  <si>
    <t>Cycle Vixens</t>
  </si>
  <si>
    <t>Dawn of the Dead</t>
  </si>
  <si>
    <t>Deathsport</t>
  </si>
  <si>
    <t>Disco Fever</t>
  </si>
  <si>
    <t>Disco / Drama</t>
  </si>
  <si>
    <t>Drunken Master</t>
  </si>
  <si>
    <t>Classic Kung Fu / Jackie Chan / Comedy</t>
  </si>
  <si>
    <t>Enter the Game of Death</t>
  </si>
  <si>
    <t>Bruceploitation / Bruce Le / Kung Fu Exploitation</t>
  </si>
  <si>
    <t>https://en.wikipedia.org/wiki/Enter_the_Game_of_Death</t>
  </si>
  <si>
    <t>Felicity</t>
  </si>
  <si>
    <t>Ozploitation / Erotic Drama / Period Curio</t>
  </si>
  <si>
    <t>Foul Play</t>
  </si>
  <si>
    <t>Game of Death</t>
  </si>
  <si>
    <t>Bruce Lee / Posthumous Oddity / Martial Arts</t>
  </si>
  <si>
    <t>https://en.wikipedia.org/wiki/Game_of_Death</t>
  </si>
  <si>
    <t>Gray Lady Down</t>
  </si>
  <si>
    <t>Grease</t>
  </si>
  <si>
    <t>Musical / Teen / Rock 'n' Roll</t>
  </si>
  <si>
    <t>Halloween</t>
  </si>
  <si>
    <t>Slasher</t>
  </si>
  <si>
    <t>Hardware Wars</t>
  </si>
  <si>
    <t>Sci-Fi Parody / Fan-Film Pioneer / Star Wars Spoof</t>
  </si>
  <si>
    <t>Cult Oddity / Genre Foundation</t>
  </si>
  <si>
    <t>https://en.wikipedia.org/wiki/Hardware_Wars</t>
  </si>
  <si>
    <t>Harper Valley PTA</t>
  </si>
  <si>
    <t>Heroes of the East</t>
  </si>
  <si>
    <t>Classic Kung Fu / Shaw Brothers / Martial-Arts Showcase</t>
  </si>
  <si>
    <t>Hi-Riders</t>
  </si>
  <si>
    <t>I Spit on Your Grave</t>
  </si>
  <si>
    <t>Ice Castles</t>
  </si>
  <si>
    <t>In Praise of Older Women</t>
  </si>
  <si>
    <t>Invasion of the Body Snatchers</t>
  </si>
  <si>
    <t>Invincible Shaolin</t>
  </si>
  <si>
    <t>Classic Kung Fu / Shaw Brothers / Venom Mob / Shaolin</t>
  </si>
  <si>
    <t>https://shop.bfi.org.uk/shawscope-volume-two-limited-edition-8-disc-blu-ray-box-set/</t>
  </si>
  <si>
    <t>Punk Cinema / Dystopian Satire / British Underground</t>
  </si>
  <si>
    <t>Cult Canon / Time Capsule / Music Cult</t>
  </si>
  <si>
    <t>Just a Gigolo</t>
  </si>
  <si>
    <t>Psychological Horror / Eco / Creature Horror</t>
  </si>
  <si>
    <t>Magic</t>
  </si>
  <si>
    <t>Psychological Horror / Split Identity / Ventriloquist Horror</t>
  </si>
  <si>
    <t>Genre Deep Cut / Performance Cult</t>
  </si>
  <si>
    <t>Mountain of the Cannibal God</t>
  </si>
  <si>
    <t>Olly, Olly, Oxen Free</t>
  </si>
  <si>
    <t>Piranha</t>
  </si>
  <si>
    <t>Poitín</t>
  </si>
  <si>
    <t>Remember My Name</t>
  </si>
  <si>
    <t>Same Time Next Year</t>
  </si>
  <si>
    <t>Sgt. Pepper's Lonely Hearts Club Band</t>
  </si>
  <si>
    <t>Rock Musical / Camp</t>
  </si>
  <si>
    <t>Camp Classic / Soundtrack Cult</t>
  </si>
  <si>
    <t>Snake in the Eagle's Shadow</t>
  </si>
  <si>
    <t>Classic Kung Fu / Jackie Chan / Comedy / Yuen Woo-ping</t>
  </si>
  <si>
    <t>Snapshot</t>
  </si>
  <si>
    <t>Ozploitation / Thriller / Fashion</t>
  </si>
  <si>
    <t>Someone's Watching Me!</t>
  </si>
  <si>
    <t>Made-for-TV Thriller / Stalker / Urban Paranoia</t>
  </si>
  <si>
    <t>Spawn of the Slithis</t>
  </si>
  <si>
    <t>Starhops</t>
  </si>
  <si>
    <t>Thank God It's Friday</t>
  </si>
  <si>
    <t>Disco / Music / Comedy</t>
  </si>
  <si>
    <t>The 36th Chamber of Shaolin</t>
  </si>
  <si>
    <t>Classic Kung Fu / Shaw Brothers / Shaolin Training</t>
  </si>
  <si>
    <t>Cult Canon / VHS Classic / Grindhouse Favorite / Genre Essential</t>
  </si>
  <si>
    <t>The Alien Factor</t>
  </si>
  <si>
    <t>Regional Sci-Fi / Creature Feature / Microbudget</t>
  </si>
  <si>
    <t>Regional Oddity / Creature Feature / Forgotten Gem</t>
  </si>
  <si>
    <t>https://en.wikipedia.org/wiki/The_Alien_Factor</t>
  </si>
  <si>
    <t>The Betsy</t>
  </si>
  <si>
    <t>The Buddy Holly Story</t>
  </si>
  <si>
    <t>Music / Biopic / Rock 'n' Roll</t>
  </si>
  <si>
    <t>The Class of Miss MacMichael</t>
  </si>
  <si>
    <t>The Driver</t>
  </si>
  <si>
    <t>The End</t>
  </si>
  <si>
    <t>The Evil</t>
  </si>
  <si>
    <t>The Five Venoms</t>
  </si>
  <si>
    <t>The Fury</t>
  </si>
  <si>
    <t>The Lord of the Rings</t>
  </si>
  <si>
    <t>Adult Animation / Fantasy / Rotoscope</t>
  </si>
  <si>
    <t>https://www.bfi.org.uk/film/1ee534ad-5b1e-5225-8e38-4e82ec906faf/the-lord-of-the-rings</t>
  </si>
  <si>
    <t>The Medusa Touch</t>
  </si>
  <si>
    <t>The Rutles: All You Need Is Cash</t>
  </si>
  <si>
    <t>Mockumentary / Music Parody / TV Film</t>
  </si>
  <si>
    <t>https://en.wikipedia.org/wiki/All_You_Need_Is_Cash</t>
  </si>
  <si>
    <t>The Shout</t>
  </si>
  <si>
    <t>Psychological Horror / Folk Horror / Subjective Reality</t>
  </si>
  <si>
    <t>https://en.wikipedia.org/wiki/The_Shout</t>
  </si>
  <si>
    <t>The Silent Partner</t>
  </si>
  <si>
    <t>The Toolbox Murders</t>
  </si>
  <si>
    <t>The Wiz</t>
  </si>
  <si>
    <t>Musical / Soul / Fantasy</t>
  </si>
  <si>
    <t>Tomorrow Never Comes</t>
  </si>
  <si>
    <t>Vampire Hookers</t>
  </si>
  <si>
    <t>Warriors Two</t>
  </si>
  <si>
    <t>Classic Kung Fu / Wing Chun / Sammo Hung</t>
  </si>
  <si>
    <t>https://en.wikipedia.org/wiki/Warriors_Two</t>
  </si>
  <si>
    <t>Watership Down</t>
  </si>
  <si>
    <t>Dark Family / Animation / Survival</t>
  </si>
  <si>
    <t>Weekend of Shadows</t>
  </si>
  <si>
    <t>Australian Thriller / Small-Town Gothic / Ozploitation Adjacent</t>
  </si>
  <si>
    <t>Who Is Killing the Great Chefs of Europe?</t>
  </si>
  <si>
    <t>Alien</t>
  </si>
  <si>
    <t>All That Jazz</t>
  </si>
  <si>
    <t>Musical / Dance / Arthouse</t>
  </si>
  <si>
    <t>Americathon</t>
  </si>
  <si>
    <t>Caligula</t>
  </si>
  <si>
    <t>Erotic Historical / Exploitation / Notorious Production</t>
  </si>
  <si>
    <t>Notorious Cult / Alternate Cut History / Banned / Controversial</t>
  </si>
  <si>
    <t>Chapter Two</t>
  </si>
  <si>
    <t>Chilly Scenes Of Winter</t>
  </si>
  <si>
    <t>Cuba</t>
  </si>
  <si>
    <t>Dirty Ho</t>
  </si>
  <si>
    <t>Classic Kung Fu / Shaw Brothers / Lau Kar-leung</t>
  </si>
  <si>
    <t>Disco Godfather</t>
  </si>
  <si>
    <t>Disco / Blaxploitation</t>
  </si>
  <si>
    <t>Hair</t>
  </si>
  <si>
    <t>Rock Musical / Counterculture</t>
  </si>
  <si>
    <t>Human Experiments</t>
  </si>
  <si>
    <t>Life of Brian</t>
  </si>
  <si>
    <t>Absurdist Comedy / Religious Satire</t>
  </si>
  <si>
    <t>Ozploitation Anchor / Road Action / Dystopian</t>
  </si>
  <si>
    <t>Mad Monkey Kung Fu</t>
  </si>
  <si>
    <t>Classic Kung Fu / Shaw Brothers / Training Comedy</t>
  </si>
  <si>
    <t>Meatballs</t>
  </si>
  <si>
    <t>Meteor</t>
  </si>
  <si>
    <t>Microwave Massacre</t>
  </si>
  <si>
    <t>My Brilliant Career</t>
  </si>
  <si>
    <t>North Dallas Forty</t>
  </si>
  <si>
    <t>Nosferatu the Vampyre</t>
  </si>
  <si>
    <t>Phantasm</t>
  </si>
  <si>
    <t>Prophecy</t>
  </si>
  <si>
    <t>Quadrophenia</t>
  </si>
  <si>
    <t>Music / Youth Culture / Mod</t>
  </si>
  <si>
    <t>Ravagers</t>
  </si>
  <si>
    <t>Post-Apocalyptic / Survival</t>
  </si>
  <si>
    <t>Rock 'n' Roll High School</t>
  </si>
  <si>
    <t>Music / Punk / Teen</t>
  </si>
  <si>
    <t>Roller Boogie</t>
  </si>
  <si>
    <t>Dance / Disco / Roller</t>
  </si>
  <si>
    <t>Saint Jack</t>
  </si>
  <si>
    <t>Salem's Lot</t>
  </si>
  <si>
    <t>TV Miniseries Horror / Vampire Horror / Stephen King</t>
  </si>
  <si>
    <t>TV Cult / Genre Essential</t>
  </si>
  <si>
    <t>Seven From Heaven/Angels Revenge</t>
  </si>
  <si>
    <t>Skatetown U.S.A</t>
  </si>
  <si>
    <t>Stalker</t>
  </si>
  <si>
    <t>Arthouse Sci-Fi / Philosophical Sci-Fi / Zone Mystery</t>
  </si>
  <si>
    <t>https://www.bfi.org.uk/film/5f6dce09-c4e8-5d06-8395-9ca71512d790/stalker</t>
  </si>
  <si>
    <t>Starting Over</t>
  </si>
  <si>
    <t>The Apple</t>
  </si>
  <si>
    <t>Rock Musical / Disco / Camp</t>
  </si>
  <si>
    <t>The Black Hole</t>
  </si>
  <si>
    <t>Dark Family / Sci-Fi / Gothic</t>
  </si>
  <si>
    <t>The Black Stallion</t>
  </si>
  <si>
    <t>The Brood</t>
  </si>
  <si>
    <t>Body Horror</t>
  </si>
  <si>
    <t>The China Syndrome</t>
  </si>
  <si>
    <t>Nuclear Thriller / Disaster / Political Drama</t>
  </si>
  <si>
    <t>The Driller Killer</t>
  </si>
  <si>
    <t>The Frisco Kid</t>
  </si>
  <si>
    <t>The Jerk</t>
  </si>
  <si>
    <t>Absurdist Comedy / Slapstick</t>
  </si>
  <si>
    <t>The Kid with the Golden Arm</t>
  </si>
  <si>
    <t>The Last of the Knucklemen</t>
  </si>
  <si>
    <t>The Magnificent Butcher</t>
  </si>
  <si>
    <t>Classic Kung Fu / Sammo Hung / Comedy / Golden Harvest Cult</t>
  </si>
  <si>
    <t>https://en.wikipedia.org/wiki/The_Magnificent_Butcher</t>
  </si>
  <si>
    <t>The Music Machine</t>
  </si>
  <si>
    <t>The Plumber</t>
  </si>
  <si>
    <t>Australian Thriller / TV Cult / Psychological</t>
  </si>
  <si>
    <t>The Rose</t>
  </si>
  <si>
    <t>Music / Drama / Rock</t>
  </si>
  <si>
    <t>The Visitor</t>
  </si>
  <si>
    <t>The Wanderers</t>
  </si>
  <si>
    <t>The Warriors</t>
  </si>
  <si>
    <t>Vampire Horror / Sci-Fi Horror</t>
  </si>
  <si>
    <t>https://www.nfsa.gov.au/collection/item/thirst-awful-truth</t>
  </si>
  <si>
    <t>Tourist Trap</t>
  </si>
  <si>
    <t>Up From The Depths</t>
  </si>
  <si>
    <t>Walt Disney's The Apple Dumpling Gang Rides Again</t>
  </si>
  <si>
    <t>Weasels Rip My Flesh</t>
  </si>
  <si>
    <t>Spoof / Parody / Slapstick</t>
  </si>
  <si>
    <t>Alligator</t>
  </si>
  <si>
    <t>Altered States</t>
  </si>
  <si>
    <t>https://www.criterion.com/films/29506-altered-states</t>
  </si>
  <si>
    <t>Atlantic City</t>
  </si>
  <si>
    <t>Battle Beyond the Stars</t>
  </si>
  <si>
    <t>No Wave Cinema / Punk Drama / Downtown New York</t>
  </si>
  <si>
    <t>Cult Classic / Time Capsule / Music Cult</t>
  </si>
  <si>
    <t>Breaking Glass</t>
  </si>
  <si>
    <t>Music / Punk / Drama</t>
  </si>
  <si>
    <t>Caddyshack</t>
  </si>
  <si>
    <t>Sports Comedy / Ensemble</t>
  </si>
  <si>
    <t>Can't Stop the Music</t>
  </si>
  <si>
    <t>Disco / Musical / Camp</t>
  </si>
  <si>
    <t>Cannibal Apocalypse</t>
  </si>
  <si>
    <t>Cannibal Holocaust</t>
  </si>
  <si>
    <t>Carny</t>
  </si>
  <si>
    <t>Christmas Evil</t>
  </si>
  <si>
    <t>City of the Living Dead</t>
  </si>
  <si>
    <t>Clan of the White Lotus</t>
  </si>
  <si>
    <t>Classic Kung Fu / Shaw Brothers / Pai Mei</t>
  </si>
  <si>
    <t>https://en.wikipedia.org/wiki/Clan_of_the_White_Lotus</t>
  </si>
  <si>
    <t>Coal Miner's Daughter</t>
  </si>
  <si>
    <t>Contamination</t>
  </si>
  <si>
    <t>Contraband</t>
  </si>
  <si>
    <t>Poliziotteschi / Eurocrime / Fulci / Gangster Gore</t>
  </si>
  <si>
    <t>Cruising</t>
  </si>
  <si>
    <t>Desperate Moves</t>
  </si>
  <si>
    <t>Dr. Heckyl and Mr. Hype</t>
  </si>
  <si>
    <t>Falling in Love Again</t>
  </si>
  <si>
    <t>Fame</t>
  </si>
  <si>
    <t>Music / Dance / Drama</t>
  </si>
  <si>
    <t>Flash Gordon</t>
  </si>
  <si>
    <t>Forbidden Zone</t>
  </si>
  <si>
    <t>Surreal / Artificial Stage World / Musical</t>
  </si>
  <si>
    <t>Harlequin</t>
  </si>
  <si>
    <t>Ozploitation / Supernatural Thriller / Political Cult</t>
  </si>
  <si>
    <t>Hawk The Slayer</t>
  </si>
  <si>
    <t>How to Beat the High Cost of Living</t>
  </si>
  <si>
    <t>Humanoids from the Deep</t>
  </si>
  <si>
    <t>Inferno</t>
  </si>
  <si>
    <t>Supernatural Horror / Occult Horror</t>
  </si>
  <si>
    <t>Killer Constable</t>
  </si>
  <si>
    <t>Classic Kung Fu / Shaw Brothers / Police Wuxia / Dark Cult</t>
  </si>
  <si>
    <t>Maniac</t>
  </si>
  <si>
    <t>Motel Hell</t>
  </si>
  <si>
    <t>Night Of The Juggler</t>
  </si>
  <si>
    <t>Nightmares</t>
  </si>
  <si>
    <t>One Trick Pony</t>
  </si>
  <si>
    <t>Music / Drama / Road</t>
  </si>
  <si>
    <t>Pick Up Summer/ Pinball Summer</t>
  </si>
  <si>
    <t>Pinball Summer</t>
  </si>
  <si>
    <t>Private Benjamin</t>
  </si>
  <si>
    <t>Military Comedy / Fish-out-of-water</t>
  </si>
  <si>
    <t>Roadie</t>
  </si>
  <si>
    <t>Saturn 3</t>
  </si>
  <si>
    <t>Scared To Death</t>
  </si>
  <si>
    <t>Silver Dream Racer</t>
  </si>
  <si>
    <t>Stir Crazy</t>
  </si>
  <si>
    <t>Black Comedy / Buddy / Prison</t>
  </si>
  <si>
    <t>The Attic</t>
  </si>
  <si>
    <t>The Blues Brothers</t>
  </si>
  <si>
    <t>Music Comedy / Road / Action</t>
  </si>
  <si>
    <t>The Boogey Man</t>
  </si>
  <si>
    <t>The Chain Reaction</t>
  </si>
  <si>
    <t>Ozploitation / Eco-Thriller / Action</t>
  </si>
  <si>
    <t>The Changeling</t>
  </si>
  <si>
    <t>The Clones of Bruce Lee</t>
  </si>
  <si>
    <t>Bruceploitation / Multiple Bruce Lee Clones / Exploitation Cult</t>
  </si>
  <si>
    <t>https://en.wikipedia.org/wiki/The_Clones_of_Bruce_Lee</t>
  </si>
  <si>
    <t>Vigilante / Urban Revenge / Exploitation</t>
  </si>
  <si>
    <t>Cult Canon / Grindhouse Favorite</t>
  </si>
  <si>
    <t>The Fog</t>
  </si>
  <si>
    <t>Supernatural Horror / Ghost Story</t>
  </si>
  <si>
    <t>The Godsend</t>
  </si>
  <si>
    <t>The Howling</t>
  </si>
  <si>
    <t>Werewolf Horror</t>
  </si>
  <si>
    <t>The Idolmaker</t>
  </si>
  <si>
    <t>Music / Drama / Pop</t>
  </si>
  <si>
    <t>The Jazz Singer</t>
  </si>
  <si>
    <t>The Ninth Configuration</t>
  </si>
  <si>
    <t>Surreal / Institutional / Psychological</t>
  </si>
  <si>
    <t>Dark Family / Supernatural / Disney Cult</t>
  </si>
  <si>
    <t>Times Square</t>
  </si>
  <si>
    <t>Music / Punk / Youth Cult</t>
  </si>
  <si>
    <t>To All A Goodnight</t>
  </si>
  <si>
    <t>Toxic Zombies</t>
  </si>
  <si>
    <t>Witches Brew</t>
  </si>
  <si>
    <t>Xanadu</t>
  </si>
  <si>
    <t>Musical / Disco / Fantasy</t>
  </si>
  <si>
    <t>Alison's Birthday</t>
  </si>
  <si>
    <t>Adult Animation / Music / Rotoscope</t>
  </si>
  <si>
    <t>https://www.imdb.com/title/tt0082009/</t>
  </si>
  <si>
    <t>Americana</t>
  </si>
  <si>
    <t>Bloody Birthday</t>
  </si>
  <si>
    <t>Blow Out</t>
  </si>
  <si>
    <t>Buddy Buddy</t>
  </si>
  <si>
    <t>Bustin' Loose</t>
  </si>
  <si>
    <t>Black Comedy / Road / Family</t>
  </si>
  <si>
    <t>Carnival Magic</t>
  </si>
  <si>
    <t>Caveman</t>
  </si>
  <si>
    <t>Cutter's Way</t>
  </si>
  <si>
    <t>Rediscovered Cult</t>
  </si>
  <si>
    <t>Dark Night of the Scarecrow</t>
  </si>
  <si>
    <t>Made-for-TV Horror / Supernatural Revenge / Rural Horror</t>
  </si>
  <si>
    <t>Dead &amp; Buried</t>
  </si>
  <si>
    <t>Regional Horror</t>
  </si>
  <si>
    <t>Deadly Blessing</t>
  </si>
  <si>
    <t>Endless Love</t>
  </si>
  <si>
    <t>Enter the Ninja</t>
  </si>
  <si>
    <t>Ninja / Martial Arts VHS / Cannon</t>
  </si>
  <si>
    <t>VHS Classic</t>
  </si>
  <si>
    <t>https://kinolorber.com/film/ninja-trilogy-enter-the-ninja-revenge-of-the-ninja-ninja-iii-the-domination-4kuhd</t>
  </si>
  <si>
    <t>https://en.wikipedia.org/wiki/1990%3A_The_Bronx_Warriors</t>
  </si>
  <si>
    <t>Excalibur</t>
  </si>
  <si>
    <t>Eye of the Needle</t>
  </si>
  <si>
    <t>Final Exam</t>
  </si>
  <si>
    <t>Firecracker</t>
  </si>
  <si>
    <t>For Y'ur Height Only</t>
  </si>
  <si>
    <t>Comedy / Spoof</t>
  </si>
  <si>
    <t>Full Moon High</t>
  </si>
  <si>
    <t>Galaxy Of Terror</t>
  </si>
  <si>
    <t>Ghost Story</t>
  </si>
  <si>
    <t>Graduation Day</t>
  </si>
  <si>
    <t>Great White/The Last Shark</t>
  </si>
  <si>
    <t>Halloween II</t>
  </si>
  <si>
    <t>Happy Birthday to Me</t>
  </si>
  <si>
    <t>Heartaches</t>
  </si>
  <si>
    <t>Heartbeeps</t>
  </si>
  <si>
    <t>Adult Animation / Sci-Fi Fantasy / Anthology / Heavy Metal</t>
  </si>
  <si>
    <t>https://www.imdb.com/title/tt0082509/</t>
  </si>
  <si>
    <t>Hell Night</t>
  </si>
  <si>
    <t>History of the World, Part I</t>
  </si>
  <si>
    <t>Historical Spoof / Sketch Comedy</t>
  </si>
  <si>
    <t>House by the Cemetery</t>
  </si>
  <si>
    <t>Italian Horror</t>
  </si>
  <si>
    <t>Incubus</t>
  </si>
  <si>
    <t>Inseminoid</t>
  </si>
  <si>
    <t>King of the Mountain</t>
  </si>
  <si>
    <t>Kiss Daddy Goodbye</t>
  </si>
  <si>
    <t>Knightriders</t>
  </si>
  <si>
    <t>Lady Stay Dead</t>
  </si>
  <si>
    <t>Ozploitation / Slasher / Home-Invasion</t>
  </si>
  <si>
    <t>Looker</t>
  </si>
  <si>
    <t>Techno-Thriller / Media Sci-Fi / Corporate Paranoia</t>
  </si>
  <si>
    <t>https://en.wikipedia.org/wiki/Looker</t>
  </si>
  <si>
    <t>Lovely but Deadly</t>
  </si>
  <si>
    <t>Mad Foxes</t>
  </si>
  <si>
    <t>Mad Max 2: The Road Warrior</t>
  </si>
  <si>
    <t>Malevil</t>
  </si>
  <si>
    <t>Post-Apocalyptic / Arthouse / French</t>
  </si>
  <si>
    <t>Modern Problems</t>
  </si>
  <si>
    <t>Modern Romance</t>
  </si>
  <si>
    <t>Ms. 45</t>
  </si>
  <si>
    <t>My Bloody Valentine</t>
  </si>
  <si>
    <t>On Golden Pond</t>
  </si>
  <si>
    <t>Outland</t>
  </si>
  <si>
    <t>Pennies From Heaven</t>
  </si>
  <si>
    <t>Polyester</t>
  </si>
  <si>
    <t>Queer Camp / John Waters / Odorama</t>
  </si>
  <si>
    <t>https://www.bfi.org.uk/features/where-begin-john-waters</t>
  </si>
  <si>
    <t>Porky's</t>
  </si>
  <si>
    <t>Possession</t>
  </si>
  <si>
    <t>Psychological Horror / Body Horror / Relationship Horror</t>
  </si>
  <si>
    <t>Cult Canon / Extreme Performance / Visual Cult</t>
  </si>
  <si>
    <t>Quartet</t>
  </si>
  <si>
    <t>Ragtime</t>
  </si>
  <si>
    <t>Road Games</t>
  </si>
  <si>
    <t>Thriller / Road Movie</t>
  </si>
  <si>
    <t>Ozploitation / Road Thriller / Serial Killer</t>
  </si>
  <si>
    <t>Roar</t>
  </si>
  <si>
    <t>Saturday the 14th</t>
  </si>
  <si>
    <t>Scanners</t>
  </si>
  <si>
    <t>Body Horror / Sci-Fi Horror</t>
  </si>
  <si>
    <t>Southern Comfort</t>
  </si>
  <si>
    <t>Stripes</t>
  </si>
  <si>
    <t>Military Comedy / Slapstick / Ensemble</t>
  </si>
  <si>
    <t>Student Bodies</t>
  </si>
  <si>
    <t>Tarzan the Ape Man</t>
  </si>
  <si>
    <t>The Appointment</t>
  </si>
  <si>
    <t>The Beyond</t>
  </si>
  <si>
    <t>The Burning</t>
  </si>
  <si>
    <t>The Cannonball Run</t>
  </si>
  <si>
    <t>Road Comedy / Ensemble / Car Cult</t>
  </si>
  <si>
    <t>The Decline of Western Civilization</t>
  </si>
  <si>
    <t>Punk Documentary / Music / Los Angeles Underground</t>
  </si>
  <si>
    <t>The Devil and Max Devlin</t>
  </si>
  <si>
    <t>Dark Family / Supernatural Comedy / Disney Oddity</t>
  </si>
  <si>
    <t>The Fan</t>
  </si>
  <si>
    <t>The Four Seasons</t>
  </si>
  <si>
    <t>The French Lieutenant's Woman</t>
  </si>
  <si>
    <t>The Funhouse</t>
  </si>
  <si>
    <t>The Hand</t>
  </si>
  <si>
    <t>The Last Chase</t>
  </si>
  <si>
    <t>The Monster Club</t>
  </si>
  <si>
    <t>The Pit</t>
  </si>
  <si>
    <t>https://en.wikipedia.org/wiki/The_Pit_(1981_film)</t>
  </si>
  <si>
    <t>The Prodigal Son</t>
  </si>
  <si>
    <t>https://www.bfi.org.uk/news/10-great-hong-kong-action-films-1980s</t>
  </si>
  <si>
    <t>The Prowler</t>
  </si>
  <si>
    <t>The Survivor</t>
  </si>
  <si>
    <t>Thief</t>
  </si>
  <si>
    <t>Time Bandits</t>
  </si>
  <si>
    <t>Surreal Fantasy / Artificial World / Adventure</t>
  </si>
  <si>
    <t>Venom</t>
  </si>
  <si>
    <t>Wolfen</t>
  </si>
  <si>
    <t>X-Ray</t>
  </si>
  <si>
    <t>Y'ur Height Only</t>
  </si>
  <si>
    <t>Zorro: The Gay Blade</t>
  </si>
  <si>
    <t>1990: The Bronx Warriors</t>
  </si>
  <si>
    <t>Italian Post-Apocalyptic / Gang</t>
  </si>
  <si>
    <t>48 Hrs.</t>
  </si>
  <si>
    <t>Buddy Comedy / Action / Black Cinema</t>
  </si>
  <si>
    <t>Airplane II: The Sequel</t>
  </si>
  <si>
    <t>Spoof / Parody / Sci-Fi Comedy</t>
  </si>
  <si>
    <t>Amityville II: The Possession</t>
  </si>
  <si>
    <t>Android</t>
  </si>
  <si>
    <t>Ator, the Fighting Eagle</t>
  </si>
  <si>
    <t>Sword &amp; Sorcery / Italian Exploitation / Barbarian VHS</t>
  </si>
  <si>
    <t>VHS Classic / Cult Oddity</t>
  </si>
  <si>
    <t>https://www.cultcelebrities.com/sword-and-sorcery/</t>
  </si>
  <si>
    <t>Basket Case</t>
  </si>
  <si>
    <t>Battletruck / Warlords of the 21st Century</t>
  </si>
  <si>
    <t>Post-Apocalyptic / Road Warrior Clone / Vehicles</t>
  </si>
  <si>
    <t>Best Friends</t>
  </si>
  <si>
    <t>Big Meat Eater</t>
  </si>
  <si>
    <t>Tech-Noir Anchor / Cyberpunk / Future Noir</t>
  </si>
  <si>
    <t>Cult Canon / Canon Anchor / Genre Foundation</t>
  </si>
  <si>
    <t>https://www.bfi.org.uk/film/ec064a2a-f7a8-536a-afa2-ed076aad151f/blade-runner</t>
  </si>
  <si>
    <t>Boardinghouse</t>
  </si>
  <si>
    <t>SOV Horror / Supernatural Slasher / Home-Video Pioneer</t>
  </si>
  <si>
    <t>SOV Cult / Genre Foundation / Cult Oddity</t>
  </si>
  <si>
    <t>https://en.wikipedia.org/wiki/Boardinghouse_(film)</t>
  </si>
  <si>
    <t>Class of 1984</t>
  </si>
  <si>
    <t>Music / Exploitation</t>
  </si>
  <si>
    <t>Conan the Barbarian</t>
  </si>
  <si>
    <t>Sword &amp; Sorcery Anchor / Barbarian Fantasy</t>
  </si>
  <si>
    <t>Creepshow</t>
  </si>
  <si>
    <t>Dear Mr. Wonderful</t>
  </si>
  <si>
    <t>Death Wish II</t>
  </si>
  <si>
    <t>Eating Raoul</t>
  </si>
  <si>
    <t>Fanny and Alexander</t>
  </si>
  <si>
    <t>Fast Times at Ridgemont High</t>
  </si>
  <si>
    <t>Comedy / Teen Comedy</t>
  </si>
  <si>
    <t>Fighting Back</t>
  </si>
  <si>
    <t>Vigilante / Urban Crime / Revenge</t>
  </si>
  <si>
    <t>Genre Deep Cut / Time Capsule</t>
  </si>
  <si>
    <t>Five Days One Summer</t>
  </si>
  <si>
    <t>Forbidden World</t>
  </si>
  <si>
    <t>Frances</t>
  </si>
  <si>
    <t>Galaxy of Terror</t>
  </si>
  <si>
    <t>Girls Night Out</t>
  </si>
  <si>
    <t>Halloween III Season of the Witch</t>
  </si>
  <si>
    <t>Hanky Panky</t>
  </si>
  <si>
    <t>Hey Good Lookin'</t>
  </si>
  <si>
    <t>Adult Animation / Urban Coming-of-Age / Bakshi</t>
  </si>
  <si>
    <t>https://www.imdb.com/title/tt0084070/</t>
  </si>
  <si>
    <t>Jekyll and Hyde... Together Again</t>
  </si>
  <si>
    <t>Comedy / Spoof / High-Concept</t>
  </si>
  <si>
    <t>Kiss Me Goodbye</t>
  </si>
  <si>
    <t>Ladies and Gentlemen, the Fabulous Stains</t>
  </si>
  <si>
    <t>Legendary Weapons of China</t>
  </si>
  <si>
    <t>Classic Kung Fu / Shaw Brothers / Weapons Showcase / Lau Kar-leung</t>
  </si>
  <si>
    <t>Liquid Sky</t>
  </si>
  <si>
    <t>Surreal / New Wave / Artificial Urban World</t>
  </si>
  <si>
    <t>Losing Ground</t>
  </si>
  <si>
    <t>Making Love</t>
  </si>
  <si>
    <t>Midnight</t>
  </si>
  <si>
    <t>Monsignor</t>
  </si>
  <si>
    <t>Night Shift</t>
  </si>
  <si>
    <t>Nightbeast</t>
  </si>
  <si>
    <t>Regional Sci-Fi Horror / Creature Feature / Microbudget</t>
  </si>
  <si>
    <t>Regional Oddity / VHS Classic / Creature Feature</t>
  </si>
  <si>
    <t>https://en.wikipedia.org/wiki/Nightbeast</t>
  </si>
  <si>
    <t>One Dark Night</t>
  </si>
  <si>
    <t>Pieces</t>
  </si>
  <si>
    <t>Pink Floyd: The Wall</t>
  </si>
  <si>
    <t>Rock Musical / Arthouse / Animation</t>
  </si>
  <si>
    <t>Q: The Winged Serpent</t>
  </si>
  <si>
    <t>Querelle</t>
  </si>
  <si>
    <t>Queer Arthouse / Fassbinder / Camp</t>
  </si>
  <si>
    <t>https://en.wikipedia.org/wiki/Querelle</t>
  </si>
  <si>
    <t>Regina Roma</t>
  </si>
  <si>
    <t>Richard Pryor: Live on the Sunset Strip</t>
  </si>
  <si>
    <t>Running on Empty</t>
  </si>
  <si>
    <t>Ozploitation / Carsploitation / Street Racing</t>
  </si>
  <si>
    <t>Safari 3000</t>
  </si>
  <si>
    <t>Six Pack</t>
  </si>
  <si>
    <t>Smithereens</t>
  </si>
  <si>
    <t>Sorceress</t>
  </si>
  <si>
    <t>Soup For One</t>
  </si>
  <si>
    <t>Starstruck</t>
  </si>
  <si>
    <t>Music / New Wave / Comedy</t>
  </si>
  <si>
    <t>Tenebrae</t>
  </si>
  <si>
    <t>Giallo / Slasher / Meta-Horror</t>
  </si>
  <si>
    <t>The Aftermath</t>
  </si>
  <si>
    <t>Post-Apocalyptic / Low-Budget / Survival</t>
  </si>
  <si>
    <t>The Atomic Cafe</t>
  </si>
  <si>
    <t>Found-Footage Documentary / Nuclear Satire / Cold War</t>
  </si>
  <si>
    <t>Cult Canon / Time Capsule</t>
  </si>
  <si>
    <t>The Beastmaster</t>
  </si>
  <si>
    <t>Sword &amp; Sorcery / Animal Fantasy / VHS Cult</t>
  </si>
  <si>
    <t>https://en.wikipedia.org/wiki/The_Beastmaster</t>
  </si>
  <si>
    <t>The Best Little Whorehouse in Texas</t>
  </si>
  <si>
    <t>The Dark Crystal</t>
  </si>
  <si>
    <t>Dark Family / Puppet Fantasy / Artificial World</t>
  </si>
  <si>
    <t>The Entity</t>
  </si>
  <si>
    <t>Psychological Horror / Supernatural Horror / Gaslighting Horror</t>
  </si>
  <si>
    <t>Cult Classic / Genre Essential / Controversial Horror</t>
  </si>
  <si>
    <t>https://www.bfi.org.uk/sight-and-sound/features/haunted-house-patriarchy-how-entity-subverts-mainstream-horror-films</t>
  </si>
  <si>
    <t>The Escape Artist</t>
  </si>
  <si>
    <t>The House on Sorority Row</t>
  </si>
  <si>
    <t>The Last American Virgin</t>
  </si>
  <si>
    <t>The Last Unicorn</t>
  </si>
  <si>
    <t>Dark Family / Animation / Melancholic Fantasy</t>
  </si>
  <si>
    <t>The New York Ripper</t>
  </si>
  <si>
    <t>Slasher / Giallo</t>
  </si>
  <si>
    <t>The Plague Dogs</t>
  </si>
  <si>
    <t>Adult Animation / Bleak Animal Drama / Political</t>
  </si>
  <si>
    <t>Dark Family / Animation / Fantasy</t>
  </si>
  <si>
    <t>The Seduction</t>
  </si>
  <si>
    <t>The Slumber Party Massacre</t>
  </si>
  <si>
    <t>The Sword and the Sorcerer</t>
  </si>
  <si>
    <t>Sword &amp; Sorcery / Barbarian Fantasy / Albert Pyun</t>
  </si>
  <si>
    <t>VHS Classic / Genre Essential</t>
  </si>
  <si>
    <t>https://en.wikipedia.org/wiki/The_Sword_and_the_Sorcerer</t>
  </si>
  <si>
    <t>The Thing</t>
  </si>
  <si>
    <t>Sci-Fi Horror / Body Horror / Alien Horror</t>
  </si>
  <si>
    <t>Adult Animation / Sci-Fi / Moebius / Euro Cult</t>
  </si>
  <si>
    <t>https://www.imdb.com/title/tt0084315/</t>
  </si>
  <si>
    <t>Tootsie</t>
  </si>
  <si>
    <t>Trick or Treats</t>
  </si>
  <si>
    <t>Synthwave DNA / Neon Retro-Futurism / Digital World</t>
  </si>
  <si>
    <t>Canon Anchor / Genre Foundation / Genre Essential / Visual Cult</t>
  </si>
  <si>
    <t>https://www.imdb.com/title/tt0084827/</t>
  </si>
  <si>
    <t>Turkey Shoot</t>
  </si>
  <si>
    <t>Ozploitation / Dystopian / Prison Action</t>
  </si>
  <si>
    <t>Victor Victoria</t>
  </si>
  <si>
    <t>Videodrome</t>
  </si>
  <si>
    <t>We of the Never Never</t>
  </si>
  <si>
    <t>White Dog</t>
  </si>
  <si>
    <t>Wolf Devil Woman</t>
  </si>
  <si>
    <t>Italian Post-Nuke / Action</t>
  </si>
  <si>
    <t>2020 Texas Gladiators</t>
  </si>
  <si>
    <t>Italian Post-Nuke / Action / Mad Max Clone</t>
  </si>
  <si>
    <t>https://www.imdb.com/title/tt0083565/</t>
  </si>
  <si>
    <t>A Night in Heaven</t>
  </si>
  <si>
    <t>Attack of the Beast Creatures</t>
  </si>
  <si>
    <t>BMX Bandits</t>
  </si>
  <si>
    <t>Australian Cult / Youth Action / Bikes</t>
  </si>
  <si>
    <t>Brainstorm</t>
  </si>
  <si>
    <t>Cross Country</t>
  </si>
  <si>
    <t>Curtains</t>
  </si>
  <si>
    <t>Deathstalker</t>
  </si>
  <si>
    <t>Sword &amp; Sorcery / Corman / Barbarian Exploitation</t>
  </si>
  <si>
    <t>https://en.wikipedia.org/wiki/Deathstalker_(1983_film)</t>
  </si>
  <si>
    <t>Eddie And The Cruisers</t>
  </si>
  <si>
    <t>Educating Rita</t>
  </si>
  <si>
    <t>Endgame</t>
  </si>
  <si>
    <t>Italian Post-Nuke / Gladiator</t>
  </si>
  <si>
    <t>Escape from the Bronx</t>
  </si>
  <si>
    <t>Italian Post-Apocalyptic / Urban Wasteland / Sequel</t>
  </si>
  <si>
    <t>Extraterrestial Visitors/The Pod People</t>
  </si>
  <si>
    <t>Eyes of Fire</t>
  </si>
  <si>
    <t>Folk Horror / Occult Horror / Supernatural Horror</t>
  </si>
  <si>
    <t>https://en.wikipedia.org/wiki/Eyes_of_Fire_(film)</t>
  </si>
  <si>
    <t>Adult Animation / Sword &amp; Sorcery / Frazetta</t>
  </si>
  <si>
    <t>https://www.imdb.com/title/tt0085542/</t>
  </si>
  <si>
    <t>Flashdance</t>
  </si>
  <si>
    <t>Dance / Romance / Music</t>
  </si>
  <si>
    <t>Flicks</t>
  </si>
  <si>
    <t>Heart Like A Wheel</t>
  </si>
  <si>
    <t>Hundra</t>
  </si>
  <si>
    <t>Sword &amp; Sorcery / Female Barbarian / Exploitation</t>
  </si>
  <si>
    <t>Ironmaster</t>
  </si>
  <si>
    <t>Sword &amp; Sorcery / Italian Exploitation / Prehistoric Fantasy</t>
  </si>
  <si>
    <t>Joysticks</t>
  </si>
  <si>
    <t>Krull</t>
  </si>
  <si>
    <t>Sword &amp; Sorcery / Sci-Fi Fantasy / Studio Cult</t>
  </si>
  <si>
    <t>Le Dernier Combat</t>
  </si>
  <si>
    <t>Metalstorm: The Destruction of Jared-Syn</t>
  </si>
  <si>
    <t>Science Fantasy / Wasteland Adventure / 3D Cult</t>
  </si>
  <si>
    <t>https://en.wikipedia.org/wiki/Metalstorm:_The_Destruction_of_Jared-Syn</t>
  </si>
  <si>
    <t>Mickey's Christmas Carol</t>
  </si>
  <si>
    <t>Midnite Spares</t>
  </si>
  <si>
    <t>Ozploitation / Carsploitation / Crime</t>
  </si>
  <si>
    <t>National Lampoon's Vacation</t>
  </si>
  <si>
    <t>Road Comedy / Family</t>
  </si>
  <si>
    <t>Private School</t>
  </si>
  <si>
    <t>Teen Comedy / Raunch</t>
  </si>
  <si>
    <t>Project A</t>
  </si>
  <si>
    <t>Hong Kong Martial Arts / Jackie Chan / Stunt Action</t>
  </si>
  <si>
    <t>Revenge of the Ninja</t>
  </si>
  <si>
    <t>Adult Animation / Rock Musical / Dystopian Sci-Fi</t>
  </si>
  <si>
    <t>https://www.imdb.com/title/tt0086203/</t>
  </si>
  <si>
    <t>Scarab</t>
  </si>
  <si>
    <t>Sledgehammer</t>
  </si>
  <si>
    <t>SOV Horror / Slasher / Amateur Cult</t>
  </si>
  <si>
    <t>SOV Cult / So-Bad-It's-Good / Regional Oddity</t>
  </si>
  <si>
    <t>https://www.americangenrefilm.com/theatrical-film-catalog/sledgehammer/</t>
  </si>
  <si>
    <t>Sleepaway Camp</t>
  </si>
  <si>
    <t>Something Wicked This Way Comes</t>
  </si>
  <si>
    <t>Dark Family / Gothic / Supernatural</t>
  </si>
  <si>
    <t>Somewhere, Tomorrow</t>
  </si>
  <si>
    <t>Spacehunter: Adventures in the Forbidden Zone</t>
  </si>
  <si>
    <t>Special Bulletin</t>
  </si>
  <si>
    <t>Made-for-TV Nuclear Thriller / Faux News / Disaster</t>
  </si>
  <si>
    <t>TV Cult / Genre Foundation / Time Capsule</t>
  </si>
  <si>
    <t>Staying Alive</t>
  </si>
  <si>
    <t>Dance / Drama / Sequel</t>
  </si>
  <si>
    <t>Strange Brew</t>
  </si>
  <si>
    <t>Comedy</t>
  </si>
  <si>
    <t>Strange Invaders</t>
  </si>
  <si>
    <t>Stroker Ace</t>
  </si>
  <si>
    <t>Stryker</t>
  </si>
  <si>
    <t>Philippine Post-Nuke / Action</t>
  </si>
  <si>
    <t>Suburbia</t>
  </si>
  <si>
    <t>Drama / Music</t>
  </si>
  <si>
    <t>Survival Zone</t>
  </si>
  <si>
    <t>Post-Nuke / South African / Survival</t>
  </si>
  <si>
    <t>https://en.wikipedia.org/wiki/Survival_Zone</t>
  </si>
  <si>
    <t>Testament</t>
  </si>
  <si>
    <t>Nuclear Aftermath / Drama / Arthouse</t>
  </si>
  <si>
    <t>The Big Chill</t>
  </si>
  <si>
    <t>The Boxer's Omen</t>
  </si>
  <si>
    <t>The Day After</t>
  </si>
  <si>
    <t>Made-for-TV Nuclear Drama / Apocalypse</t>
  </si>
  <si>
    <t>The Dead Zone</t>
  </si>
  <si>
    <t>The Deadly Spawn</t>
  </si>
  <si>
    <t>The Dresser</t>
  </si>
  <si>
    <t>The Exterminators of the Year 3000</t>
  </si>
  <si>
    <t>Italian Post-Nuke / Road Warrior Clone / Vehicles</t>
  </si>
  <si>
    <t>The Hunger</t>
  </si>
  <si>
    <t>Vampire Horror / Gothic Horror</t>
  </si>
  <si>
    <t>The Keep</t>
  </si>
  <si>
    <t>The Man with the Two Brains</t>
  </si>
  <si>
    <t>The Man with Two Brains</t>
  </si>
  <si>
    <t>Absurdist Comedy / Sci-Fi</t>
  </si>
  <si>
    <t>The New Barbarians / Warriors of the Wasteland</t>
  </si>
  <si>
    <t>Italian Post-Nuke / Road Warrior Clone</t>
  </si>
  <si>
    <t>The Osterman Weekend</t>
  </si>
  <si>
    <t>The Return of Captain Invincible</t>
  </si>
  <si>
    <t>Australian Cult / Superhero Musical / Satire</t>
  </si>
  <si>
    <t>The Right Stuff</t>
  </si>
  <si>
    <t>Trading Places</t>
  </si>
  <si>
    <t>Comedy / Social Satire / High-Concept</t>
  </si>
  <si>
    <t>Twilight Zone The Movie</t>
  </si>
  <si>
    <t>Unico in the Island of Magic</t>
  </si>
  <si>
    <t>Dark Family / Anime / Surreal</t>
  </si>
  <si>
    <t>Valley Girl</t>
  </si>
  <si>
    <t>Wargames</t>
  </si>
  <si>
    <t>Warrior of the Lost World</t>
  </si>
  <si>
    <t>Italian Post-Nuke / Road Warrior Clone / Camp</t>
  </si>
  <si>
    <t>Zappa</t>
  </si>
  <si>
    <t>Zelig</t>
  </si>
  <si>
    <t>Mockumentary / Faux Archive / Woody Allen</t>
  </si>
  <si>
    <t>https://en.wikipedia.org/wiki/Zelig</t>
  </si>
  <si>
    <t>Zu: Warriors from the Magic Mountain</t>
  </si>
  <si>
    <t>1984</t>
  </si>
  <si>
    <t>A Soldier's Story</t>
  </si>
  <si>
    <t>Black Cinema / Mystery / Drama</t>
  </si>
  <si>
    <t>All of Me</t>
  </si>
  <si>
    <t>Body-Swap Comedy / Fantasy</t>
  </si>
  <si>
    <t>Bachelor Party</t>
  </si>
  <si>
    <t>Raunch Comedy / Party</t>
  </si>
  <si>
    <t>Beat Street</t>
  </si>
  <si>
    <t>Hip-Hop / Dance / Music</t>
  </si>
  <si>
    <t>Black Devil Doll from Hell</t>
  </si>
  <si>
    <t>Outsider Cinema / SOV Horror / Regional Underground</t>
  </si>
  <si>
    <t>SOV Cult / Regional Oddity / Psychotronic</t>
  </si>
  <si>
    <t>https://en.wikipedia.org/wiki/Black_Devil_Doll_from_Hell</t>
  </si>
  <si>
    <t>Blonde Death</t>
  </si>
  <si>
    <t>Outsider Cinema / SOV Crime Comedy / Underground</t>
  </si>
  <si>
    <t>SOV Cult / Regional Oddity / Cult Oddity</t>
  </si>
  <si>
    <t>https://en.wikipedia.org/wiki/Blonde_Death</t>
  </si>
  <si>
    <t>Body Double</t>
  </si>
  <si>
    <t>Thriller / Erotic</t>
  </si>
  <si>
    <t>Body Rock</t>
  </si>
  <si>
    <t>Dance / Music</t>
  </si>
  <si>
    <t>Breakin'</t>
  </si>
  <si>
    <t>Dance / Hip-Hop</t>
  </si>
  <si>
    <t>Breakin' 2: Electric Boogaloo</t>
  </si>
  <si>
    <t>Dance / Hip-Hop / Camp</t>
  </si>
  <si>
    <t>C.H.U.D</t>
  </si>
  <si>
    <t>Caravan of Courage: An Ewok Adventure</t>
  </si>
  <si>
    <t>High-Concept Family / Video Store Cult / TV Fantasy / Space Adventure</t>
  </si>
  <si>
    <t>Forgotten Gem / Video Store Cult / Franchise Curio</t>
  </si>
  <si>
    <t>Cloak &amp; Dagger</t>
  </si>
  <si>
    <t>Dark Family / Spy Fantasy / Child Peril</t>
  </si>
  <si>
    <t>Crimewave</t>
  </si>
  <si>
    <t>Don't Open Till Christmas</t>
  </si>
  <si>
    <t>Dreamscape</t>
  </si>
  <si>
    <t>Electric Dreams</t>
  </si>
  <si>
    <t>Footloose</t>
  </si>
  <si>
    <t>Dance / Teen / Music</t>
  </si>
  <si>
    <t>Greystoke The Legend of Tarzan, Lord of the Apes</t>
  </si>
  <si>
    <t>Heavenly Bodies</t>
  </si>
  <si>
    <t>Dance / Aerobics / Drama</t>
  </si>
  <si>
    <t>Irreconcilable Differences</t>
  </si>
  <si>
    <t>Johnny Dangerously</t>
  </si>
  <si>
    <t>Gangster Spoof / Comedy</t>
  </si>
  <si>
    <t>Joy of Sex</t>
  </si>
  <si>
    <t>Long Arm of the Law</t>
  </si>
  <si>
    <t>Hong Kong Heroic Bloodshed / Crime / Proto-Cycle</t>
  </si>
  <si>
    <t>Genre Foundation / Genre Essential</t>
  </si>
  <si>
    <t>https://www.bfi.org.uk/features/century-chinese-cinema-introduction</t>
  </si>
  <si>
    <t>Making the Grade</t>
  </si>
  <si>
    <t>Teen Comedy / Prep School</t>
  </si>
  <si>
    <t>Micki + Maude</t>
  </si>
  <si>
    <t>Synthwave DNA / Neon Post-Apocalypse / Teen Action</t>
  </si>
  <si>
    <t>https://www.imdb.com/title/tt0087799/</t>
  </si>
  <si>
    <t>Ninja III: The Domination</t>
  </si>
  <si>
    <t>Demonic / Possession Horror / Supernatural Horror</t>
  </si>
  <si>
    <t>Paris, Texas</t>
  </si>
  <si>
    <t>Slapstick / Ensemble / Institution Comedy</t>
  </si>
  <si>
    <t>Purple Rain</t>
  </si>
  <si>
    <t>Rats: Night of Terror</t>
  </si>
  <si>
    <t>Reckless</t>
  </si>
  <si>
    <t>Repo Man</t>
  </si>
  <si>
    <t>Surreal / Urban Uncanny / Punk</t>
  </si>
  <si>
    <t>Revenge of the Nerds</t>
  </si>
  <si>
    <t>Teen Comedy / Geek</t>
  </si>
  <si>
    <t>Roadhouse 66</t>
  </si>
  <si>
    <t>Runaway</t>
  </si>
  <si>
    <t>Neon Action / Techno-Thriller / Killer Robots / Retro-Futurism</t>
  </si>
  <si>
    <t>https://www.imdb.com/title/tt0088024/</t>
  </si>
  <si>
    <t>Savage Streets</t>
  </si>
  <si>
    <t>She</t>
  </si>
  <si>
    <t>Post-Apocalyptic / Sword &amp; Sorcery / Camp</t>
  </si>
  <si>
    <t>Silent Night, Deadly Night</t>
  </si>
  <si>
    <t>Slasher / Holiday Slasher</t>
  </si>
  <si>
    <t>Sixteen Candles</t>
  </si>
  <si>
    <t>Sole Survivor</t>
  </si>
  <si>
    <t>Slasher / Supernatural Horror</t>
  </si>
  <si>
    <t>Special Effects</t>
  </si>
  <si>
    <t>Starman</t>
  </si>
  <si>
    <t>Synthwave DNA / Neon Rock Action / Retro-Futurism</t>
  </si>
  <si>
    <t>https://www.imdb.com/title/tt0088194/</t>
  </si>
  <si>
    <t>Streetwise</t>
  </si>
  <si>
    <t>Documentary / Street Youth / Social Realism</t>
  </si>
  <si>
    <t>Cult Documentary / Time Capsule</t>
  </si>
  <si>
    <t>Surf II</t>
  </si>
  <si>
    <t>The Adventures of Buckaroo Banzai Across the 8th Dimension</t>
  </si>
  <si>
    <t>Artificial World / Retro-Futurist / Absurdist Sci-Fi</t>
  </si>
  <si>
    <t>The Brother from Another Planet</t>
  </si>
  <si>
    <t>The Company of Wolves</t>
  </si>
  <si>
    <t>Surreal / Dream Logic / Dark Fantasy / Arthouse</t>
  </si>
  <si>
    <t>The Eight Diagram Pole Fighter</t>
  </si>
  <si>
    <t>Classic Kung Fu / Shaw Brothers / Gordon Liu</t>
  </si>
  <si>
    <t>Tech-Noir / Dystopian Detective / Arthouse</t>
  </si>
  <si>
    <t>https://www.criterion.com/films/619-the-element-of-crime</t>
  </si>
  <si>
    <t>The Enchanted</t>
  </si>
  <si>
    <t>The Final Executioner</t>
  </si>
  <si>
    <t>Italian Post-Nuke / Dystopian</t>
  </si>
  <si>
    <t>https://en.wikipedia.org/wiki/The_Final_Executioner</t>
  </si>
  <si>
    <t>The Last Starfighter</t>
  </si>
  <si>
    <t>The Lonely Guy</t>
  </si>
  <si>
    <t>The NeverEnding Story</t>
  </si>
  <si>
    <t>Childflick Anchor / Portal Fantasy / Dark Family</t>
  </si>
  <si>
    <t>https://www.imdb.com/title/tt0088323/</t>
  </si>
  <si>
    <t>The Philadelphia Experiment</t>
  </si>
  <si>
    <t>Time Travel / Military Sci-Fi / Conspiracy</t>
  </si>
  <si>
    <t>VHS Classic / Cult Classic</t>
  </si>
  <si>
    <t>https://en.wikipedia.org/wiki/The_Philadelphia_Experiment_(film)</t>
  </si>
  <si>
    <t>Tech-Noir Anchor / Cyberpunk / Killer Machine / Urban Night</t>
  </si>
  <si>
    <t>https://www.bfi.org.uk/sight-and-sound/greatest-films-all-time/all-voters/kat-hughes</t>
  </si>
  <si>
    <t>The Toxic Avenger</t>
  </si>
  <si>
    <t>The Warrior and the Sorceress</t>
  </si>
  <si>
    <t>This Is Spinal Tap</t>
  </si>
  <si>
    <t>Music / Mockumentary</t>
  </si>
  <si>
    <t>Threads</t>
  </si>
  <si>
    <t>Nuclear Horror / TV Drama</t>
  </si>
  <si>
    <t>Tightrope</t>
  </si>
  <si>
    <t>Crime / Thriller / Erotic</t>
  </si>
  <si>
    <t>Top Secret!</t>
  </si>
  <si>
    <t>Warriors of the Year 2072 / The New Gladiators</t>
  </si>
  <si>
    <t>Italian Dystopian / Gladiator</t>
  </si>
  <si>
    <t>Hong Kong Martial Arts / Jackie Chan / Sammo Hung / Action Comedy</t>
  </si>
  <si>
    <t>https://en.wikipedia.org/wiki/Wheels_on_Meals</t>
  </si>
  <si>
    <t>After Hours</t>
  </si>
  <si>
    <t>Surreal / Night Liminal / Dark Comedy</t>
  </si>
  <si>
    <t>https://www.criterion.com/films/29632-after-hours</t>
  </si>
  <si>
    <t>American Drive-In</t>
  </si>
  <si>
    <t>American Ninja</t>
  </si>
  <si>
    <t>https://editorial.rottentomatoes.com/article/top-ten-ninja-films/</t>
  </si>
  <si>
    <t>Baby: Secret of the Lost Legend</t>
  </si>
  <si>
    <t>High-Concept Family / Video Store Cult / Dinosaur Adventure / Fantasy</t>
  </si>
  <si>
    <t>Forgotten Gem / Video Store Cult / Creature Feature</t>
  </si>
  <si>
    <t>SOURCE AUDIT NEEDED — high-concept family / video-store cult pass</t>
  </si>
  <si>
    <t>Back to the Future</t>
  </si>
  <si>
    <t>Sci-Fi Comedy / Time Travel / Teen</t>
  </si>
  <si>
    <t>Barbarian Queen</t>
  </si>
  <si>
    <t>Better Off Dead</t>
  </si>
  <si>
    <t>Dark Comedy / Comedy / Teen Comedy</t>
  </si>
  <si>
    <t>Blood Cult</t>
  </si>
  <si>
    <t>SOV Horror / Slasher / Home-Video Pioneer</t>
  </si>
  <si>
    <t>SOV Cult / VHS Classic / Genre Foundation</t>
  </si>
  <si>
    <t>https://www.americangenrefilm.com/theatrical-film-catalog/blood-cult/</t>
  </si>
  <si>
    <t>Surreal / Bureaucratic Liminal / Retro-Futurist / Arthouse</t>
  </si>
  <si>
    <t>https://www.bfi.org.uk/film/bb840dfa-f69d-576b-bd99-dfa28efd4595/brazil</t>
  </si>
  <si>
    <t>Breaking All the Rules</t>
  </si>
  <si>
    <t>Brewster's Millions</t>
  </si>
  <si>
    <t>High-Concept Comedy / Satire</t>
  </si>
  <si>
    <t>Certain Fury</t>
  </si>
  <si>
    <t>City Limits</t>
  </si>
  <si>
    <t>Post-Apocalyptic / Youth Gang</t>
  </si>
  <si>
    <t>Cocoon</t>
  </si>
  <si>
    <t>Alien Contact / Family Sci-Fi / Aging Fantasy</t>
  </si>
  <si>
    <t>https://en.wikipedia.org/wiki/Cocoon_(film)</t>
  </si>
  <si>
    <t>Creature</t>
  </si>
  <si>
    <t>Space Horror / Alien Creature / B-Movie Sci-Fi</t>
  </si>
  <si>
    <t>VHS Classic / Creature Feature</t>
  </si>
  <si>
    <t>https://en.wikipedia.org/wiki/Creature_(1985_film)</t>
  </si>
  <si>
    <t>D.A.R.Y.L</t>
  </si>
  <si>
    <t>Day of the Dead</t>
  </si>
  <si>
    <t>Death Wish 3</t>
  </si>
  <si>
    <t>Def-Con 4</t>
  </si>
  <si>
    <t>Post-Nuke / Canadian / Survival</t>
  </si>
  <si>
    <t>Demons</t>
  </si>
  <si>
    <t>Demonic Horror / Splatter</t>
  </si>
  <si>
    <t>Desert Hearts</t>
  </si>
  <si>
    <t>Dreamchild</t>
  </si>
  <si>
    <t>Surreal / Memory / Arthouse Fantasy</t>
  </si>
  <si>
    <t>Eliminators</t>
  </si>
  <si>
    <t>Neo-80s Action / Cyborg Adventure / Cannon-era Sci-Fi</t>
  </si>
  <si>
    <t>https://www.imdb.com/title/tt0091003/</t>
  </si>
  <si>
    <t>Enemy Mine</t>
  </si>
  <si>
    <t>Space Adventure / Alien Contact / War Allegory</t>
  </si>
  <si>
    <t>https://en.wikipedia.org/wiki/Enemy_Mine_(film)</t>
  </si>
  <si>
    <t>European Vacation</t>
  </si>
  <si>
    <t>Road Comedy / Family / Sequel</t>
  </si>
  <si>
    <t>Ewoks: The Battle for Endor</t>
  </si>
  <si>
    <t>Explorers</t>
  </si>
  <si>
    <t>Teen Sci-Fi / Adventure</t>
  </si>
  <si>
    <t>Fandango</t>
  </si>
  <si>
    <t>Fast Forward</t>
  </si>
  <si>
    <t>Dance / Youth / Drama</t>
  </si>
  <si>
    <t>Fletch</t>
  </si>
  <si>
    <t>Comedy / Mystery</t>
  </si>
  <si>
    <t>Fool For Love</t>
  </si>
  <si>
    <t>Fortress</t>
  </si>
  <si>
    <t>Australian TV Cult / Survival Thriller</t>
  </si>
  <si>
    <t>Fraternity Vacation</t>
  </si>
  <si>
    <t>Fright Night</t>
  </si>
  <si>
    <t>Galaxy Invader</t>
  </si>
  <si>
    <t>Regional Sci-Fi / Alien Creature / Microbudget</t>
  </si>
  <si>
    <t>https://en.wikipedia.org/wiki/Galaxy_Invader</t>
  </si>
  <si>
    <t>Ghoulies</t>
  </si>
  <si>
    <t>Girls Just Want to Have Fun</t>
  </si>
  <si>
    <t>Dance / Teen / Comedy</t>
  </si>
  <si>
    <t>Gymkata</t>
  </si>
  <si>
    <t>Martial Arts VHS / Gymnastics / Action Oddity</t>
  </si>
  <si>
    <t>https://en.wikipedia.org/wiki/Gymkata</t>
  </si>
  <si>
    <t>Hard Rock Zombies</t>
  </si>
  <si>
    <t>Into the Night</t>
  </si>
  <si>
    <t>Just One of the Guys</t>
  </si>
  <si>
    <t>Teen Comedy / Gender-Swap</t>
  </si>
  <si>
    <t>Kiss of the Spider Woman</t>
  </si>
  <si>
    <t>Krush Groove</t>
  </si>
  <si>
    <t>Hip-Hop / Music</t>
  </si>
  <si>
    <t>Ladyhawke</t>
  </si>
  <si>
    <t>Lifeforce</t>
  </si>
  <si>
    <t>Lost in America</t>
  </si>
  <si>
    <t>Making Contact / Joey</t>
  </si>
  <si>
    <t>Kids Creature Features / Supernatural / Evil Dummy</t>
  </si>
  <si>
    <t>https://www.imdb.com/title/tt0089378/</t>
  </si>
  <si>
    <t>Malibu Express</t>
  </si>
  <si>
    <t>Massacre in Dinosaur Valley</t>
  </si>
  <si>
    <t>Miracle Mile</t>
  </si>
  <si>
    <t>Mischief</t>
  </si>
  <si>
    <t>Moving Violations</t>
  </si>
  <si>
    <t>Slapstick / Driving School / Ensemble</t>
  </si>
  <si>
    <t>Mugsy's Girls/ Delta Pi</t>
  </si>
  <si>
    <t>My Science Project</t>
  </si>
  <si>
    <t>Ninja Terminator</t>
  </si>
  <si>
    <t>Ninja / Godfrey Ho / Cut-and-Paste / VHS Cult</t>
  </si>
  <si>
    <t>https://en.wikipedia.org/wiki/Ninja_Terminator</t>
  </si>
  <si>
    <t>O-Bi, O-Ba: The End of Civilization</t>
  </si>
  <si>
    <t>Post-Apocalyptic / Polish Arthouse / Dystopian</t>
  </si>
  <si>
    <t>Once Bitten</t>
  </si>
  <si>
    <t>Vampire Horror / Horror Comedy</t>
  </si>
  <si>
    <t>One Magic Christmas</t>
  </si>
  <si>
    <t>Pee-wee's Big Adventure</t>
  </si>
  <si>
    <t>Phenomena</t>
  </si>
  <si>
    <t>Giallo / Supernatural Horror</t>
  </si>
  <si>
    <t>Police Academy 2: Their First Assignment</t>
  </si>
  <si>
    <t>Police Story</t>
  </si>
  <si>
    <t>Hong Kong Action Anchor / Jackie Chan / Martial Arts / Stunt Cult Canon</t>
  </si>
  <si>
    <t>Pray for Death</t>
  </si>
  <si>
    <t>Ninja / Martial Arts VHS / Sho Kosugi / Revenge Cult</t>
  </si>
  <si>
    <t>Private Resort</t>
  </si>
  <si>
    <t>Prizzi's Honor</t>
  </si>
  <si>
    <t>Radioactive Dreams</t>
  </si>
  <si>
    <t>Re-Animator</t>
  </si>
  <si>
    <t>Cosmic Horror / Horror Comedy</t>
  </si>
  <si>
    <t>Teen Comedy / Science / High-Concept</t>
  </si>
  <si>
    <t>Return of the Living Dead</t>
  </si>
  <si>
    <t>Dark Family / Surreal / Uncanny</t>
  </si>
  <si>
    <t>Screamplay</t>
  </si>
  <si>
    <t>Secret Admirer</t>
  </si>
  <si>
    <t>Teen Comedy / Romance / Farce</t>
  </si>
  <si>
    <t>Silver Bullet</t>
  </si>
  <si>
    <t>Spies Like Us</t>
  </si>
  <si>
    <t>Spy Spoof / Buddy Comedy</t>
  </si>
  <si>
    <t>Sweet Dreams</t>
  </si>
  <si>
    <t>Teen Wolf</t>
  </si>
  <si>
    <t>Teen Fantasy Comedy / High School</t>
  </si>
  <si>
    <t>The Adventures of Mark Twain</t>
  </si>
  <si>
    <t>Dark Family / Stop-Motion / Surreal</t>
  </si>
  <si>
    <t>Practical FX Showcase</t>
  </si>
  <si>
    <t>The Aviator</t>
  </si>
  <si>
    <t>The Black Cauldron</t>
  </si>
  <si>
    <t>Dark Family / Animation / Gothic Fantasy</t>
  </si>
  <si>
    <t>The Bride</t>
  </si>
  <si>
    <t>The Dungeonmaster</t>
  </si>
  <si>
    <t>The Heavenly Kid</t>
  </si>
  <si>
    <t>Teen Fantasy Comedy / Afterlife</t>
  </si>
  <si>
    <t>The Hugga Bunch Movie</t>
  </si>
  <si>
    <t>Forgotten Family / Kids Fantasy / TV Oddity</t>
  </si>
  <si>
    <t>Cult Oddity / Forgotten Gem</t>
  </si>
  <si>
    <t>The Journey of Natty Gann</t>
  </si>
  <si>
    <t>Family Animal Adventure / Kids Drama / Coming-of-Age</t>
  </si>
  <si>
    <t>https://en.wikipedia.org/wiki/The_Journey_of_Natty_Gann</t>
  </si>
  <si>
    <t>The Last Dragon</t>
  </si>
  <si>
    <t>Neo-80s / Martial Arts / Music / Neon Cult</t>
  </si>
  <si>
    <t>https://www.imdb.com/title/tt0089461/</t>
  </si>
  <si>
    <t>The Nail Gun Massacre</t>
  </si>
  <si>
    <t>Dark Family / Childhood Nightmare / Surreal</t>
  </si>
  <si>
    <t>The Quiet Earth</t>
  </si>
  <si>
    <t>Post-Apocalyptic / Arthouse / New Zealand</t>
  </si>
  <si>
    <t>The Stuff</t>
  </si>
  <si>
    <t>Tomboy</t>
  </si>
  <si>
    <t>Synthwave DNA / Time-Travel Noir / Future Cop</t>
  </si>
  <si>
    <t>https://www.imdb.com/title/tt0090192/</t>
  </si>
  <si>
    <t>Transylvania 6-5000</t>
  </si>
  <si>
    <t>UFOria</t>
  </si>
  <si>
    <t>Vampire Hunter D</t>
  </si>
  <si>
    <t>Anime Horror</t>
  </si>
  <si>
    <t>Warriors of the Apocalypse</t>
  </si>
  <si>
    <t>https://en.wikipedia.org/wiki/Warriors_of_the_Apocalypse_%281985_film%29</t>
  </si>
  <si>
    <t>Teen Sci-Fi Comedy / Geek / High-Concept</t>
  </si>
  <si>
    <t>Philippine Post-Nuke / Road Warrior Clone / Vehicles</t>
  </si>
  <si>
    <t>Zone Troopers</t>
  </si>
  <si>
    <t>8 Million Ways to Die</t>
  </si>
  <si>
    <t>A Better Tomorrow</t>
  </si>
  <si>
    <t>Hong Kong Heroic Bloodshed / Gangster / Gunplay</t>
  </si>
  <si>
    <t>Cult Canon / Visual Cult</t>
  </si>
  <si>
    <t>https://www.bfi.org.uk/features/heroic-bloodshed-hong-kong-hollywood-cycle-influence</t>
  </si>
  <si>
    <t>About Last Night</t>
  </si>
  <si>
    <t>Absolute Beginners</t>
  </si>
  <si>
    <t>Music / Musical / New Wave</t>
  </si>
  <si>
    <t>Amazons</t>
  </si>
  <si>
    <t>America 3000</t>
  </si>
  <si>
    <t>Post-Nuke / Barbarian / Camp</t>
  </si>
  <si>
    <t>Armed and Dangerous</t>
  </si>
  <si>
    <t>Buddy Comedy / Action</t>
  </si>
  <si>
    <t>Betty Blue</t>
  </si>
  <si>
    <t>Big Trouble in Little China</t>
  </si>
  <si>
    <t>Action Comedy / Fantasy</t>
  </si>
  <si>
    <t>Black Moon Rising</t>
  </si>
  <si>
    <t>Neon Action / Supercar Techno-Thriller / 80s Cult</t>
  </si>
  <si>
    <t>https://www.imdb.com/title/tt0090735/</t>
  </si>
  <si>
    <t>Blood Hook</t>
  </si>
  <si>
    <t>Blue Velvet</t>
  </si>
  <si>
    <t>Chopping Mall</t>
  </si>
  <si>
    <t>Synthwave DNA / Mall Neon / Killer Robots</t>
  </si>
  <si>
    <t>https://www.imdb.com/title/tt0090837/</t>
  </si>
  <si>
    <t>Class of Nuke 'Em High</t>
  </si>
  <si>
    <t>Cobra</t>
  </si>
  <si>
    <t>https://www.imdb.com/title/tt0090887/</t>
  </si>
  <si>
    <t>Crossroads</t>
  </si>
  <si>
    <t>Dead End Drive-In</t>
  </si>
  <si>
    <t>Ozploitation / Dystopian / Youth Cult</t>
  </si>
  <si>
    <t>Dead Man's Letters</t>
  </si>
  <si>
    <t>Post-Nuclear / Soviet Arthouse / Drama</t>
  </si>
  <si>
    <t>Deadly Friend</t>
  </si>
  <si>
    <t>Death Powder</t>
  </si>
  <si>
    <t>Body Horror / Psychological Horror</t>
  </si>
  <si>
    <t>https://en.wikipedia.org/wiki/Japanese_cyberpunk</t>
  </si>
  <si>
    <t>Evil Laugh</t>
  </si>
  <si>
    <t>Fair Game</t>
  </si>
  <si>
    <t>Ozploitation / Revenge Thriller / Outback Cult</t>
  </si>
  <si>
    <t>Ferris Bueller's Day Off</t>
  </si>
  <si>
    <t>Teen Comedy / High School</t>
  </si>
  <si>
    <t>Flight of the Navigator</t>
  </si>
  <si>
    <t>Sci-Fi / Youth Adventure</t>
  </si>
  <si>
    <t>From Beyond</t>
  </si>
  <si>
    <t>Body Horror / Cosmic Horror</t>
  </si>
  <si>
    <t>Gothic</t>
  </si>
  <si>
    <t>Half Moon Street</t>
  </si>
  <si>
    <t>Hamburger The Motion Picture</t>
  </si>
  <si>
    <t>Hands of Steel</t>
  </si>
  <si>
    <t>Italian Dystopian / Cyborg / Action</t>
  </si>
  <si>
    <t>Hannah And Her Sisters</t>
  </si>
  <si>
    <t>Heavy Metal Parking Lot</t>
  </si>
  <si>
    <t>Music Documentary / VHS Underground / Fan Culture</t>
  </si>
  <si>
    <t>VHS Classic / Cult Documentary / Time Capsule</t>
  </si>
  <si>
    <t>Howard the Duck</t>
  </si>
  <si>
    <t>Sci-Fi Comedy / Superhero / Camp</t>
  </si>
  <si>
    <t>Notorious Flop / Camp Classic / Cult Oddity</t>
  </si>
  <si>
    <t>https://www.imdb.com/title/tt0091276/</t>
  </si>
  <si>
    <t>Killer Party</t>
  </si>
  <si>
    <t>Kin-dza-dza!</t>
  </si>
  <si>
    <t>Surreal / Artificial World / Dystopian Satire / Arthouse</t>
  </si>
  <si>
    <t>Labyrinth</t>
  </si>
  <si>
    <t>Dark Family / Surreal Fantasy / Puppet Cult</t>
  </si>
  <si>
    <t>Land of Doom</t>
  </si>
  <si>
    <t>Post-Nuke / Road Warrior Clone / Action</t>
  </si>
  <si>
    <t>Little Shop of Horrors</t>
  </si>
  <si>
    <t>Lucas</t>
  </si>
  <si>
    <t>Manhunter</t>
  </si>
  <si>
    <t>Maximum Overdrive</t>
  </si>
  <si>
    <t>Modern Girls</t>
  </si>
  <si>
    <t>My Pet Monster</t>
  </si>
  <si>
    <t>Kids Creature Features / Transformation / Toy-Line Oddity</t>
  </si>
  <si>
    <t>DTV Cult / Cult Oddity / Creature Feature</t>
  </si>
  <si>
    <t>https://www.imdb.com/title/tt0400673/</t>
  </si>
  <si>
    <t>Near Dark</t>
  </si>
  <si>
    <t>Neon Maniacs</t>
  </si>
  <si>
    <t>Slasher / Eco / Creature Horror</t>
  </si>
  <si>
    <t>Night of the Creeps</t>
  </si>
  <si>
    <t>No Retreat, No Surrender</t>
  </si>
  <si>
    <t>Martial Arts VHS / Kickboxing / Van Damme</t>
  </si>
  <si>
    <t>https://en.wikipedia.org/wiki/No_Retreat,_No_Surrender</t>
  </si>
  <si>
    <t>Nutcracker: The Motion Picture</t>
  </si>
  <si>
    <t>One Crazy Summer</t>
  </si>
  <si>
    <t>Teen Comedy / Absurdist</t>
  </si>
  <si>
    <t>Peggy Sue Got Married</t>
  </si>
  <si>
    <t>Fantasy Comedy / Time Travel / Drama</t>
  </si>
  <si>
    <t>Police Academy 3: Back in Training</t>
  </si>
  <si>
    <t>Psychos in Love</t>
  </si>
  <si>
    <t>Robot Holocaust</t>
  </si>
  <si>
    <t>Post-Apocalyptic / Robot</t>
  </si>
  <si>
    <t>DTV Cult</t>
  </si>
  <si>
    <t>Ruthless People</t>
  </si>
  <si>
    <t>Dark Comedy / Farce</t>
  </si>
  <si>
    <t>She's Gotta Have It</t>
  </si>
  <si>
    <t>Black Independent / Comedy-Drama / Romance</t>
  </si>
  <si>
    <t>Short Circuit</t>
  </si>
  <si>
    <t>Sci-Fi Comedy / Robot / Family Cult</t>
  </si>
  <si>
    <t>Solarbabies</t>
  </si>
  <si>
    <t>Post-Apocalyptic / Youth Adventure</t>
  </si>
  <si>
    <t>Something Wild</t>
  </si>
  <si>
    <t>Soul Man</t>
  </si>
  <si>
    <t>College Comedy / High-Concept / Satire</t>
  </si>
  <si>
    <t>SpaceCamp</t>
  </si>
  <si>
    <t>Stand By Me</t>
  </si>
  <si>
    <t>TerrorVision</t>
  </si>
  <si>
    <t>Neo-80s / Neon Camp / Monster TV</t>
  </si>
  <si>
    <t>Camp Classic / Creature Feature / Visual Cult</t>
  </si>
  <si>
    <t>https://www.imdb.com/title/tt0092074/</t>
  </si>
  <si>
    <t>The Best Of Times</t>
  </si>
  <si>
    <t>The Boy Who Could Fly</t>
  </si>
  <si>
    <t>Dark Family / Fantasy / Melancholy</t>
  </si>
  <si>
    <t>Childflick / Living Toys / Family Fantasy / TV Cult</t>
  </si>
  <si>
    <t>https://www.henson.com/jimsredbook/2014/10/1061986/</t>
  </si>
  <si>
    <t>The Fly</t>
  </si>
  <si>
    <t>The Golden Child</t>
  </si>
  <si>
    <t>Fantasy / Comedy</t>
  </si>
  <si>
    <t>The Hitcher</t>
  </si>
  <si>
    <t>The Manhattan Project</t>
  </si>
  <si>
    <t>Techno-Thriller / Nuclear Sci-Fi / Teen Science</t>
  </si>
  <si>
    <t>Forgotten Gem / Time Capsule</t>
  </si>
  <si>
    <t>https://en.wikipedia.org/wiki/The_Manhattan_Project_(film)</t>
  </si>
  <si>
    <t>The Quest / Frog Dreaming</t>
  </si>
  <si>
    <t>Kids Creature Features / Cryptid Mystery / Youth Adventure / Oz Cult</t>
  </si>
  <si>
    <t>https://www.imdb.com/title/tt0091810/</t>
  </si>
  <si>
    <t>The Singing Detective</t>
  </si>
  <si>
    <t>Surreal / Dream Logic / TV Arthouse / Psychological</t>
  </si>
  <si>
    <t>The Visitants</t>
  </si>
  <si>
    <t>Synthwave DNA / Neon Road Action / Supernatural Car</t>
  </si>
  <si>
    <t>https://www.imdb.com/title/tt0092240/</t>
  </si>
  <si>
    <t>Three Amigos!</t>
  </si>
  <si>
    <t>Western Spoof / Adventure Comedy</t>
  </si>
  <si>
    <t>Torment</t>
  </si>
  <si>
    <t>Trick or Treat</t>
  </si>
  <si>
    <t>Troll</t>
  </si>
  <si>
    <t>Kids Creature Features / Trolls / Dark Fantasy</t>
  </si>
  <si>
    <t>https://www.imdb.com/title/tt0092115/</t>
  </si>
  <si>
    <t>Truth or Dare?: A Critical Madness</t>
  </si>
  <si>
    <t>SOV Horror / Slasher / Regional Cult</t>
  </si>
  <si>
    <t>SOV Cult / VHS Classic / Regional Oddity</t>
  </si>
  <si>
    <t>https://en.wikipedia.org/wiki/Truth_or_Dare%3F:_A_Critical_Madness</t>
  </si>
  <si>
    <t>Vamp</t>
  </si>
  <si>
    <t>Video Violence</t>
  </si>
  <si>
    <t>SOV Horror / Video-Store Slasher / Regional Cult</t>
  </si>
  <si>
    <t>https://en.wikipedia.org/wiki/Video_Violence</t>
  </si>
  <si>
    <t>Violets Are Blue</t>
  </si>
  <si>
    <t>When the Wind Blows</t>
  </si>
  <si>
    <t>Adult Animation / Nuclear Drama / British</t>
  </si>
  <si>
    <t>https://www.bfi.org.uk/features/when-wind-blows-raymond-briggs-jimmy-murakami</t>
  </si>
  <si>
    <t>Wildcats</t>
  </si>
  <si>
    <t>84 Charing Cross Road</t>
  </si>
  <si>
    <t>A Better Tomorrow II</t>
  </si>
  <si>
    <t>Hong Kong Heroic Bloodshed / Gangster / Gunplay / Sequel</t>
  </si>
  <si>
    <t>Adventures in Babysitting</t>
  </si>
  <si>
    <t>Amazon Women on the Moon</t>
  </si>
  <si>
    <t>Spoof / Sketch Comedy</t>
  </si>
  <si>
    <t>American Ninja 2: The Confrontation</t>
  </si>
  <si>
    <t>Ninja / Martial Arts VHS / Cannon / Sequel</t>
  </si>
  <si>
    <t>Baby Boom</t>
  </si>
  <si>
    <t>Bad Taste</t>
  </si>
  <si>
    <t>Banzai Runner</t>
  </si>
  <si>
    <t>Benji the Hunted</t>
  </si>
  <si>
    <t>Family Animal Adventure / Wilderness / Survival</t>
  </si>
  <si>
    <t>https://en.wikipedia.org/wiki/Benji_the_Hunted</t>
  </si>
  <si>
    <t>Berserker</t>
  </si>
  <si>
    <t>Blind Date</t>
  </si>
  <si>
    <t>Blood Diner</t>
  </si>
  <si>
    <t>Blood Lake</t>
  </si>
  <si>
    <t>SOV Cult / Regional Oddity / So-Bad-It's-Good</t>
  </si>
  <si>
    <t>https://en.wikipedia.org/wiki/Blood_Lake_(film)</t>
  </si>
  <si>
    <t>Can't Buy Me Love</t>
  </si>
  <si>
    <t>Synthwave DNA / New Wave Retro-Futurism / Wasteland Action</t>
  </si>
  <si>
    <t>https://www.tcm.com/articles/1552565/cherry-2000</t>
  </si>
  <si>
    <t>City on Fire</t>
  </si>
  <si>
    <t>Hong Kong Heroic Bloodshed / Undercover Crime / Gunplay</t>
  </si>
  <si>
    <t>Dark Age</t>
  </si>
  <si>
    <t>Date with an Angel</t>
  </si>
  <si>
    <t>Fantasy Comedy / Romance</t>
  </si>
  <si>
    <t>Outsider Action / Survival / DTV</t>
  </si>
  <si>
    <t>So-Bad-It's-Good / DTV Cult / VHS Classic</t>
  </si>
  <si>
    <t>https://en.wikipedia.org/wiki/Deadly_Prey</t>
  </si>
  <si>
    <t>Deathstalker II</t>
  </si>
  <si>
    <t>Sword &amp; Sorcery / Corman / Camp Sequel</t>
  </si>
  <si>
    <t>Dirty Dancing</t>
  </si>
  <si>
    <t>Dance / Romance / Drama</t>
  </si>
  <si>
    <t>Dirty Laundry</t>
  </si>
  <si>
    <t>Dolls</t>
  </si>
  <si>
    <t>Dragnet</t>
  </si>
  <si>
    <t>Police Spoof / Buddy Comedy</t>
  </si>
  <si>
    <t>Empire of the Sun</t>
  </si>
  <si>
    <t>Philippine Post-Nuke / Road Warrior Clone / Action</t>
  </si>
  <si>
    <t>Evil Dead II</t>
  </si>
  <si>
    <t>From a Whisper to a Scream</t>
  </si>
  <si>
    <t>Horror Anthology / Regional Horror</t>
  </si>
  <si>
    <t>Adult Animation / Sci-Fi Fantasy / Euro Cult</t>
  </si>
  <si>
    <t>https://www.imdb.com/title/tt0095525/</t>
  </si>
  <si>
    <t>Good Morning Vietnam</t>
  </si>
  <si>
    <t>Graveyard Shift</t>
  </si>
  <si>
    <t>Hard Ticket to Hawaii</t>
  </si>
  <si>
    <t>Comedy / Camp / Action</t>
  </si>
  <si>
    <t>Harry and the Hendersons</t>
  </si>
  <si>
    <t>High-Concept Family / Video Store Cult / Creature Comedy / Family Fantasy</t>
  </si>
  <si>
    <t>Canon Anchor / Video Store Cult / Creature Feature</t>
  </si>
  <si>
    <t>Hellraiser</t>
  </si>
  <si>
    <t>Supernatural Horror / Body Horror</t>
  </si>
  <si>
    <t>Hiding Out</t>
  </si>
  <si>
    <t>Teen Comedy / Crime / High-Concept</t>
  </si>
  <si>
    <t>Outsider Action / Cop Film / Regional Cult</t>
  </si>
  <si>
    <t>So-Bad-It's-Good / VHS Classic / Cult Oddity</t>
  </si>
  <si>
    <t>https://en.wikipedia.org/wiki/Hollywood_Cop</t>
  </si>
  <si>
    <t>Hollywood Shuffle</t>
  </si>
  <si>
    <t>Howling III: The Marsupials</t>
  </si>
  <si>
    <t>Werewolf Horror / Horror Comedy</t>
  </si>
  <si>
    <t>Innerspace</t>
  </si>
  <si>
    <t>Sci-Fi Comedy / Adventure / High-Concept</t>
  </si>
  <si>
    <t>Killer Klowns from Outer Space</t>
  </si>
  <si>
    <t>Killing Spree</t>
  </si>
  <si>
    <t>SOV Cult / Regional Oddity / Splatter Cult</t>
  </si>
  <si>
    <t>https://en.wikipedia.org/wiki/Killing_Spree_(film)</t>
  </si>
  <si>
    <t>La Bamba</t>
  </si>
  <si>
    <t>Light of Day</t>
  </si>
  <si>
    <t>Like Father Like Son</t>
  </si>
  <si>
    <t>Body-Swap Comedy / Family</t>
  </si>
  <si>
    <t>Making Mr. Right</t>
  </si>
  <si>
    <t>Mannequin</t>
  </si>
  <si>
    <t>Masters of the Universe</t>
  </si>
  <si>
    <t>Neo-80s DNA / Neon Fantasy Action / Cannon</t>
  </si>
  <si>
    <t>https://en.wikipedia.org/wiki/Masters_of_the_Universe_(1987_film)</t>
  </si>
  <si>
    <t>Outsider Action / Martial Arts / Synth-Rock</t>
  </si>
  <si>
    <t>Cult Canon / Rediscovered Cult / Soundtrack Cult</t>
  </si>
  <si>
    <t>https://www.vice.com/en/article/outsiders-miami-connection-feature-film/</t>
  </si>
  <si>
    <t>Mio in the Land of Faraway</t>
  </si>
  <si>
    <t>Dark Family / Fantasy / European Cult</t>
  </si>
  <si>
    <t>Monster in the Closet</t>
  </si>
  <si>
    <t>Eco / Creature Horror / Horror Comedy</t>
  </si>
  <si>
    <t>https://en.wikipedia.org/wiki/Monster_in_the_Closet</t>
  </si>
  <si>
    <t>Opera</t>
  </si>
  <si>
    <t>Orphans</t>
  </si>
  <si>
    <t>Planes, Trains and Automobiles</t>
  </si>
  <si>
    <t>Road Comedy / Buddy</t>
  </si>
  <si>
    <t>Police Academy 4: Citizens on Patrol</t>
  </si>
  <si>
    <t>Prince of Darkness</t>
  </si>
  <si>
    <t>Psychos In Love</t>
  </si>
  <si>
    <t>R.O.T.O.R.</t>
  </si>
  <si>
    <t>Outsider Sci-Fi Action / Killer Robot / DTV</t>
  </si>
  <si>
    <t>https://en.wikipedia.org/wiki/R.O.T.O.R.</t>
  </si>
  <si>
    <t>Return to Horror High</t>
  </si>
  <si>
    <t>Tech-Noir Anchor / Cyberpunk Action / Corporate Dystopia / Satire</t>
  </si>
  <si>
    <t>https://www.criterion.com/current/posts/4-robocop</t>
  </si>
  <si>
    <t>Slaughterhouse</t>
  </si>
  <si>
    <t>Slaughterhouse Rock</t>
  </si>
  <si>
    <t>Slumber Party Massacre 2</t>
  </si>
  <si>
    <t>Spaceballs</t>
  </si>
  <si>
    <t>Sci-Fi Spoof / Parody</t>
  </si>
  <si>
    <t>Splatter Farm</t>
  </si>
  <si>
    <t>SOV Horror / Splatter / Regional Underground</t>
  </si>
  <si>
    <t>https://en.wikipedia.org/wiki/Splatter_Farm</t>
  </si>
  <si>
    <t>Stagefright</t>
  </si>
  <si>
    <t>Steel Dawn</t>
  </si>
  <si>
    <t>Post-Nuke / Road Warrior Clone / Western</t>
  </si>
  <si>
    <t>Stranded</t>
  </si>
  <si>
    <t>Street Trash</t>
  </si>
  <si>
    <t>Summer School</t>
  </si>
  <si>
    <t>School Comedy / Teen</t>
  </si>
  <si>
    <t>Surf Nazis Must Die</t>
  </si>
  <si>
    <t>Tales from the QuadeaD Zone</t>
  </si>
  <si>
    <t>SOV Horror / Anthology / Regional Underground</t>
  </si>
  <si>
    <t>SOV Cult / Rare VHS / Regional Oddity</t>
  </si>
  <si>
    <t>https://en.wikipedia.org/wiki/Tales_from_the_QuadeaD_Zone</t>
  </si>
  <si>
    <t>The Barbarians</t>
  </si>
  <si>
    <t>Sword &amp; Sorcery / Cannon / Barbarian Comedy</t>
  </si>
  <si>
    <t>Dark Family / Animation / Uncanny</t>
  </si>
  <si>
    <t>The Curse</t>
  </si>
  <si>
    <t>Demonic / Possession Horror</t>
  </si>
  <si>
    <t>https://www.imdb.com/title/tt0093075/</t>
  </si>
  <si>
    <t>The Hidden</t>
  </si>
  <si>
    <t>Neon Action / Alien Cop Thriller / 80s Cult</t>
  </si>
  <si>
    <t>https://www.imdb.com/title/tt0093185/</t>
  </si>
  <si>
    <t>The Lost Boys</t>
  </si>
  <si>
    <t>https://www.paramountpictures.com/movies/the-monster-squad</t>
  </si>
  <si>
    <t>Synthwave DNA / Dystopian Action / TV Neon</t>
  </si>
  <si>
    <t>https://www.imdb.com/title/tt0093894/</t>
  </si>
  <si>
    <t>The Sicilian</t>
  </si>
  <si>
    <t>The Stepfather</t>
  </si>
  <si>
    <t>Three O'Clock High</t>
  </si>
  <si>
    <t>Teen Comedy / Dark Comedy</t>
  </si>
  <si>
    <t>Throw Momma from the Train</t>
  </si>
  <si>
    <t>Dark Comedy / Crime / Farce</t>
  </si>
  <si>
    <t>Urban Warriors</t>
  </si>
  <si>
    <t>Video Violence 2</t>
  </si>
  <si>
    <t>SOV Cult</t>
  </si>
  <si>
    <t>Walker</t>
  </si>
  <si>
    <t>Wings of Desire</t>
  </si>
  <si>
    <t>Withnail and I</t>
  </si>
  <si>
    <t>18 Again!</t>
  </si>
  <si>
    <t>555</t>
  </si>
  <si>
    <t>SOV Horror / Slasher / Regional Underground</t>
  </si>
  <si>
    <t>https://en.wikipedia.org/wiki/555_(film)</t>
  </si>
  <si>
    <t>A Fish Called Wanda</t>
  </si>
  <si>
    <t>Crime Comedy / Farce</t>
  </si>
  <si>
    <t>Adult Animation Anchor / Cyberpunk / Anime</t>
  </si>
  <si>
    <t>Alien Nation</t>
  </si>
  <si>
    <t>Beetlejuice</t>
  </si>
  <si>
    <t>Surreal / Afterlife Bureaucracy / Artificial World</t>
  </si>
  <si>
    <t>Big</t>
  </si>
  <si>
    <t>Fantasy Comedy / High-Concept</t>
  </si>
  <si>
    <t>Bloodsport</t>
  </si>
  <si>
    <t>Martial Arts VHS Anchor / Tournament / Van Damme</t>
  </si>
  <si>
    <t>Cult Canon / Canon Anchor / VHS Classic</t>
  </si>
  <si>
    <t>https://en.wikipedia.org/wiki/Bloodsport_(film)</t>
  </si>
  <si>
    <t>Brain Damage</t>
  </si>
  <si>
    <t>Cannibal Campout</t>
  </si>
  <si>
    <t>SOV Horror / Backwoods Splatter / Regional Cult</t>
  </si>
  <si>
    <t>https://en.wikipedia.org/wiki/Cannibal_Campout</t>
  </si>
  <si>
    <t>Coming to America</t>
  </si>
  <si>
    <t>Black Comedy / Romance</t>
  </si>
  <si>
    <t>Crime Zone</t>
  </si>
  <si>
    <t>Dystopian / Corman / Low-Budget Sci-Fi</t>
  </si>
  <si>
    <t>https://en.wikipedia.org/wiki/Crime_Zone</t>
  </si>
  <si>
    <t>Critters 2: The Main Course</t>
  </si>
  <si>
    <t>https://www.imdb.com/title/tt0094919/</t>
  </si>
  <si>
    <t>Dead Ringers</t>
  </si>
  <si>
    <t>Dirty Rotten Scoundrels</t>
  </si>
  <si>
    <t>Con-Artist Comedy / Farce</t>
  </si>
  <si>
    <t>Earth Girls Are Easy</t>
  </si>
  <si>
    <t>Musical / Sci-Fi / Comedy / Camp</t>
  </si>
  <si>
    <t>Elvira: Mistress of the Dark</t>
  </si>
  <si>
    <t>Empire of Ash / Maniac Warriors</t>
  </si>
  <si>
    <t>Post-Nuke / Canadian DTV / Mad Max Clone</t>
  </si>
  <si>
    <t>https://en.wikipedia.org/wiki/Empire_of_Ash</t>
  </si>
  <si>
    <t>Frankenhooker</t>
  </si>
  <si>
    <t>Body Horror / Horror Comedy / Splatter</t>
  </si>
  <si>
    <t>Ghosts... of the Civil Dead</t>
  </si>
  <si>
    <t>Australian Arthouse / Prison / Transgressive</t>
  </si>
  <si>
    <t>Hairspray</t>
  </si>
  <si>
    <t>Dance / Musical / Comedy</t>
  </si>
  <si>
    <t>Heathers</t>
  </si>
  <si>
    <t>Dark Comedy / Teen / Satire</t>
  </si>
  <si>
    <t>Hell Comes to Frogtown</t>
  </si>
  <si>
    <t>Post-Nuke / Sci-Fi Comedy</t>
  </si>
  <si>
    <t>Hobgoblins</t>
  </si>
  <si>
    <t>Outsider Creature Comedy / Gremlins Ripoff / Microbudget</t>
  </si>
  <si>
    <t>So-Bad-It's-Good / Cult Canon / VHS Classic</t>
  </si>
  <si>
    <t>https://en.wikipedia.org/wiki/Hobgoblins_(film)</t>
  </si>
  <si>
    <t>Blaxploitation Spoof / Black Comedy</t>
  </si>
  <si>
    <t>Incident at Raven's Gate</t>
  </si>
  <si>
    <t>Australian Cult / Sci-Fi Mystery / Outback Arthouse</t>
  </si>
  <si>
    <t>Kadaicha</t>
  </si>
  <si>
    <t>Killing American Style</t>
  </si>
  <si>
    <t>Outsider Action / Crime / Amir Shervan Cult</t>
  </si>
  <si>
    <t>So-Bad-It's-Good / VHS Classic / Regional Oddity</t>
  </si>
  <si>
    <t>https://en.wikipedia.org/wiki/Killing_American_Style</t>
  </si>
  <si>
    <t>Dark Family / Ghost Story / Childhood Mystery</t>
  </si>
  <si>
    <t>License to Drive</t>
  </si>
  <si>
    <t>Teen Comedy / Road</t>
  </si>
  <si>
    <t>Mac and Me</t>
  </si>
  <si>
    <t>Kids Creature Features / Friendly Alien / Family Sci-Fi / Camp Cult</t>
  </si>
  <si>
    <t>Camp Classic / Creature Feature</t>
  </si>
  <si>
    <t>https://en.wikipedia.org/wiki/Mac_and_Me</t>
  </si>
  <si>
    <t>Midnight Run</t>
  </si>
  <si>
    <t>Road Comedy / Buddy / Crime</t>
  </si>
  <si>
    <t>My Stepmother Is an Alien</t>
  </si>
  <si>
    <t>High-Concept Family / Video Store Cult / Sci-Fi Comedy</t>
  </si>
  <si>
    <t>Cult Classic / Video Store Cult / High-Concept</t>
  </si>
  <si>
    <t>Night of the Demons</t>
  </si>
  <si>
    <t>Demonic Horror / Party Horror</t>
  </si>
  <si>
    <t>Dark Family Adjacent / Dream Logic / Arthouse Fantasy</t>
  </si>
  <si>
    <t>Phoenix the Warrior / She-Wolves of the Wasteland</t>
  </si>
  <si>
    <t>Post-Nuke / Women Warriors / DTV Cult</t>
  </si>
  <si>
    <t>Pin</t>
  </si>
  <si>
    <t>Police Academy 5: Assignment Miami Beach</t>
  </si>
  <si>
    <t>High-Concept Family / Video Store Cult / Robot Comedy / Urban Adventure</t>
  </si>
  <si>
    <t>Video Store Cult / Franchise Deep Cut / High-Concept</t>
  </si>
  <si>
    <t>Space Mutiny</t>
  </si>
  <si>
    <t>Outsider Sci-Fi Action / Space Opera / DTV Cult</t>
  </si>
  <si>
    <t>So-Bad-It's-Good / VHS Classic / Cult Canon</t>
  </si>
  <si>
    <t>https://en.wikipedia.org/wiki/Space_Mutiny</t>
  </si>
  <si>
    <t>Tapeheads</t>
  </si>
  <si>
    <t>Music / Comedy</t>
  </si>
  <si>
    <t>The Adventures of Baron Munchausen</t>
  </si>
  <si>
    <t>Surreal / Artificial World / Fantasy</t>
  </si>
  <si>
    <t>The Blob</t>
  </si>
  <si>
    <t>The Decline of Western Civilization Part II: The Metal Years</t>
  </si>
  <si>
    <t>Music / Documentary</t>
  </si>
  <si>
    <t>The Great Outdoors</t>
  </si>
  <si>
    <t>Family Comedy / Vacation</t>
  </si>
  <si>
    <t>The Naked Gun: From the Files of Police Squad!</t>
  </si>
  <si>
    <t>Spoof / Police Parody / Slapstick</t>
  </si>
  <si>
    <t>The Navigator: A Medieval Odyssey</t>
  </si>
  <si>
    <t>Dark Family Adjacent / Arthouse Fantasy / Time-Slip</t>
  </si>
  <si>
    <t>The Sisterhood</t>
  </si>
  <si>
    <t>Post-Nuke / Women Warriors / Philippine</t>
  </si>
  <si>
    <t>The Thin Blue Line</t>
  </si>
  <si>
    <t>Documentary / True Crime / Investigative</t>
  </si>
  <si>
    <t>They Live</t>
  </si>
  <si>
    <t>Tiger on the Beat</t>
  </si>
  <si>
    <t>Hong Kong Action / Heroic Bloodshed Adjacent / Buddy Cop</t>
  </si>
  <si>
    <t>Vibes</t>
  </si>
  <si>
    <t>Fantasy Comedy / Psychic / Adventure</t>
  </si>
  <si>
    <t>Vice Versa</t>
  </si>
  <si>
    <t>Waxwork</t>
  </si>
  <si>
    <t>World Gone Wild</t>
  </si>
  <si>
    <t>Post-Apocalyptic / Western</t>
  </si>
  <si>
    <t>Arena</t>
  </si>
  <si>
    <t>Sci-Fi / Creature Feature</t>
  </si>
  <si>
    <t>DTV Cult / Creature Feature</t>
  </si>
  <si>
    <t>Bill &amp; Ted's Excellent Adventure</t>
  </si>
  <si>
    <t>Black Past</t>
  </si>
  <si>
    <t>DTV Cult / SOV Cult / Needs Genre Review</t>
  </si>
  <si>
    <t>Family Animal Adventure / Kids Adventure / Africa</t>
  </si>
  <si>
    <t>https://movies.disney.com/cheetah</t>
  </si>
  <si>
    <t>Communion</t>
  </si>
  <si>
    <t>Alien Abduction / Psychological Sci-Fi / UFO Cult</t>
  </si>
  <si>
    <t>Cult Classic / Cult Oddity</t>
  </si>
  <si>
    <t>https://en.wikipedia.org/wiki/Communion_(1989_film)</t>
  </si>
  <si>
    <t>Cyborg</t>
  </si>
  <si>
    <t>Neo-80s Action / Post-Apocalyptic Martial Arts / Cannon Cult</t>
  </si>
  <si>
    <t>https://www.imdb.com/title/tt0097138/</t>
  </si>
  <si>
    <t>Dead Calm</t>
  </si>
  <si>
    <t>Australian Thriller Anchor / Maritime</t>
  </si>
  <si>
    <t>Do the Right Thing</t>
  </si>
  <si>
    <t>Black Cinema / Comedy-Drama / Urban</t>
  </si>
  <si>
    <t>Dr. Caligari</t>
  </si>
  <si>
    <t>Dream a Little Dream</t>
  </si>
  <si>
    <t>Teen Fantasy / Body-Swap</t>
  </si>
  <si>
    <t>Drugstore Cowboy</t>
  </si>
  <si>
    <t>Fletch Lives</t>
  </si>
  <si>
    <t>Comedy / Mystery / Sequel</t>
  </si>
  <si>
    <t>Future Force</t>
  </si>
  <si>
    <t>Neo-80s Action / Dystopian Cop</t>
  </si>
  <si>
    <t>https://www.imdb.com/title/tt0099615/</t>
  </si>
  <si>
    <t>Industrial Liminal / Cyberpunk</t>
  </si>
  <si>
    <t>Harlem Nights</t>
  </si>
  <si>
    <t>Black Comedy / Crime / Period</t>
  </si>
  <si>
    <t>Childflick / Miniature Adventure / Family Sci-Fi</t>
  </si>
  <si>
    <t>https://www.imdb.com/title/tt0097523/</t>
  </si>
  <si>
    <t>How I Got Into College</t>
  </si>
  <si>
    <t>Teen Comedy / College</t>
  </si>
  <si>
    <t>How to Get Ahead in Advertising</t>
  </si>
  <si>
    <t>Surreal / Corporate Nightmare / Dark Comedy</t>
  </si>
  <si>
    <t>https://www.criterion.com/films/660-how-to-get-ahead-in-advertising</t>
  </si>
  <si>
    <t>Intruder</t>
  </si>
  <si>
    <t>Kickboxer</t>
  </si>
  <si>
    <t>Martial Arts VHS Anchor / Muay Thai / Van Damme</t>
  </si>
  <si>
    <t>Canon Anchor / VHS Classic / Genre Essential</t>
  </si>
  <si>
    <t>https://en.wikipedia.org/wiki/Kickboxer_(1989_film)</t>
  </si>
  <si>
    <t>Kids Creature Features / Monster Under the Bed / Dark Family</t>
  </si>
  <si>
    <t>https://en.wikipedia.org/wiki/Little_Monsters_(1989_film)</t>
  </si>
  <si>
    <t>Meet the Feebles</t>
  </si>
  <si>
    <t>Mystery Train</t>
  </si>
  <si>
    <t>National Lampoon's Christmas Vacation</t>
  </si>
  <si>
    <t>Family Comedy / Holiday</t>
  </si>
  <si>
    <t>Dark Family Adjacent / Suburban Uncanny / Black Comedy</t>
  </si>
  <si>
    <t>Police Academy 6: City Under Siege</t>
  </si>
  <si>
    <t>Puppet Master</t>
  </si>
  <si>
    <t>DTV Cult / Genre Essential / Needs Genre Review</t>
  </si>
  <si>
    <t>Robot Jox</t>
  </si>
  <si>
    <t>Roger &amp; Me</t>
  </si>
  <si>
    <t>Documentary / Satire / Corporate America</t>
  </si>
  <si>
    <t>Santa Sangre</t>
  </si>
  <si>
    <t>Shocker</t>
  </si>
  <si>
    <t>Sing</t>
  </si>
  <si>
    <t>Musical / Teen / Drama</t>
  </si>
  <si>
    <t>Society</t>
  </si>
  <si>
    <t>Body Horror / Satirical Horror</t>
  </si>
  <si>
    <t>Tales from the Gimli Hospital</t>
  </si>
  <si>
    <t>Surreal / Fever Dream / Arthouse</t>
  </si>
  <si>
    <t>Teen Fantasy Comedy / Musical</t>
  </si>
  <si>
    <t>Tetsuo: The Iron Man</t>
  </si>
  <si>
    <t>Sci-Fi / Cyberpunk / Music</t>
  </si>
  <si>
    <t>The 'Burbs</t>
  </si>
  <si>
    <t>Dark Comedy / Suburban</t>
  </si>
  <si>
    <t>The Blood of Heroes / The Salute of the Jugger</t>
  </si>
  <si>
    <t>Post-Apocalyptic / Sports</t>
  </si>
  <si>
    <t>The Bronx Executioner</t>
  </si>
  <si>
    <t>Italian Dystopian / Cyborg / Trash Cult</t>
  </si>
  <si>
    <t>The Church</t>
  </si>
  <si>
    <t>Gothic Horror / Demonic Horror</t>
  </si>
  <si>
    <t>The Cook, the Thief, His Wife &amp; Her Lover</t>
  </si>
  <si>
    <t>The Killer</t>
  </si>
  <si>
    <t>Hong Kong Heroic Bloodshed / Gun-Fu / Melodrama</t>
  </si>
  <si>
    <t>The Terror Within</t>
  </si>
  <si>
    <t>https://en.wikipedia.org/wiki/The_Terror_Within</t>
  </si>
  <si>
    <t>Things</t>
  </si>
  <si>
    <t>Outsider Horror / Canadian Microbudget / VHS Cult</t>
  </si>
  <si>
    <t>VHS Classic / Regional Oddity / So-Bad-It's-Good</t>
  </si>
  <si>
    <t>https://en.wikipedia.org/wiki/Things_(film)</t>
  </si>
  <si>
    <t>UHF</t>
  </si>
  <si>
    <t>Cult Canon / Notorious Flop</t>
  </si>
  <si>
    <t>Warlock</t>
  </si>
  <si>
    <t>Weekend at Bernie's</t>
  </si>
  <si>
    <t>Aftershock</t>
  </si>
  <si>
    <t>Post-Apocalyptic / Martial Arts</t>
  </si>
  <si>
    <t>https://en.wikipedia.org/wiki/Aftershock_%281990_film%29</t>
  </si>
  <si>
    <t>Basket Case 2</t>
  </si>
  <si>
    <t>Brain Dead</t>
  </si>
  <si>
    <t>Bullet in the Head</t>
  </si>
  <si>
    <t>Hong Kong Heroic Bloodshed / War Crime / Brotherhood</t>
  </si>
  <si>
    <t>China O'Brien</t>
  </si>
  <si>
    <t>Martial Arts VHS / Cynthia Rothrock / DTV Cult</t>
  </si>
  <si>
    <t>VHS Classic / DTV Cult</t>
  </si>
  <si>
    <t>https://en.wikipedia.org/wiki/China_O%27Brien</t>
  </si>
  <si>
    <t>Circuitry Man</t>
  </si>
  <si>
    <t>Neon Cyberpunk / Post-Apocalyptic Road Movie / Indie Cult</t>
  </si>
  <si>
    <t>https://en.wikipedia.org/wiki/Circuitry_Man</t>
  </si>
  <si>
    <t>Neon Action / Cyberpunk School / Killer Androids</t>
  </si>
  <si>
    <t>https://www.imdb.com/title/tt0099277/</t>
  </si>
  <si>
    <t>Crash and Burn</t>
  </si>
  <si>
    <t>Cry-Baby</t>
  </si>
  <si>
    <t>Musical / Teen / Rockabilly</t>
  </si>
  <si>
    <t>Darkman</t>
  </si>
  <si>
    <t>Superhero</t>
  </si>
  <si>
    <t>Demon Wind</t>
  </si>
  <si>
    <t>Don't Tell Mom the Babysitter's Dead</t>
  </si>
  <si>
    <t>Teen Comedy / High-Concept</t>
  </si>
  <si>
    <t>Edward Scissorhands</t>
  </si>
  <si>
    <t>Suburban Uncanny / Artificial World / Dark Fantasy</t>
  </si>
  <si>
    <t>Future Zone</t>
  </si>
  <si>
    <t>Neo-80s Action / Dystopian Cop / DTV Sequel</t>
  </si>
  <si>
    <t>https://www.imdb.com/title/tt0099616/</t>
  </si>
  <si>
    <t>Grim Prairie Tales</t>
  </si>
  <si>
    <t>Tech-Noir / Industrial Cyberpunk / Killer Robot</t>
  </si>
  <si>
    <t>https://www.imdb.com/title/tt0099740/</t>
  </si>
  <si>
    <t>House Party</t>
  </si>
  <si>
    <t>Black Comedy / Teen / Music</t>
  </si>
  <si>
    <t>Psychological Horror / Hallucinatory Horror / Unreliable Reality</t>
  </si>
  <si>
    <t>Cult Canon / Visual Cult / Genre Essential</t>
  </si>
  <si>
    <t>Joe Versus the Volcano</t>
  </si>
  <si>
    <t>Romantic Comedy / Fantasy</t>
  </si>
  <si>
    <t>Maniac Cop 2</t>
  </si>
  <si>
    <t>Artificial World / Surreal Sci-Fi</t>
  </si>
  <si>
    <t>Meridian: Kiss of the Beast</t>
  </si>
  <si>
    <t>DTV Cult / Needs Genre Review</t>
  </si>
  <si>
    <t>Miami Blues</t>
  </si>
  <si>
    <t>Comedy / Crime</t>
  </si>
  <si>
    <t>Mo' Better Blues</t>
  </si>
  <si>
    <t>Black Cinema / Music / Drama</t>
  </si>
  <si>
    <t>Moon 44</t>
  </si>
  <si>
    <t>Space Action / Corporate Sci-Fi / Early Emmerich</t>
  </si>
  <si>
    <t>Forgotten Gem / VHS Classic</t>
  </si>
  <si>
    <t>https://en.wikipedia.org/wiki/Moon_44</t>
  </si>
  <si>
    <t>Nightbreed</t>
  </si>
  <si>
    <t>Paris Is Burning</t>
  </si>
  <si>
    <t>Queer Documentary / Ballroom / Underground Culture</t>
  </si>
  <si>
    <t>https://en.wikipedia.org/wiki/Paris_Is_Burning_(film)</t>
  </si>
  <si>
    <t>Prayer of the Rollerboys</t>
  </si>
  <si>
    <t>Neon Dystopia / Youth Gangs / Rollerblade Future</t>
  </si>
  <si>
    <t>https://www.imdb.com/title/tt0102703/</t>
  </si>
  <si>
    <t>Problem Child</t>
  </si>
  <si>
    <t>Family Comedy / Black Comedy</t>
  </si>
  <si>
    <t>Psycho IV: The Beginning</t>
  </si>
  <si>
    <t>TV Horror</t>
  </si>
  <si>
    <t>Pump Up the Volume</t>
  </si>
  <si>
    <t>Teen Comedy</t>
  </si>
  <si>
    <t>Shadowzone</t>
  </si>
  <si>
    <t>Slacker</t>
  </si>
  <si>
    <t>Gen-X / Slacker / American Indie</t>
  </si>
  <si>
    <t>https://czasopisma.uni.lodz.pl/textmatters/article/view/6554</t>
  </si>
  <si>
    <t>Solar Crisis</t>
  </si>
  <si>
    <t>Space Disaster / International Sci-Fi / Production Oddity</t>
  </si>
  <si>
    <t>Notorious Flop / Forgotten Gem</t>
  </si>
  <si>
    <t>https://en.wikipedia.org/wiki/Solar_Crisis_(film)</t>
  </si>
  <si>
    <t>High-Concept Family / Video Store Cult / Alien Comedy</t>
  </si>
  <si>
    <t>Creature Feature / Video Store Cult / High-Concept</t>
  </si>
  <si>
    <t>https://d23.com/a-to-z/spaced-invaders-film/</t>
  </si>
  <si>
    <t>Spontaneous Combustion</t>
  </si>
  <si>
    <t>The Exorcist III</t>
  </si>
  <si>
    <t>Religious Horror / Supernatural Horror</t>
  </si>
  <si>
    <t>The Freshman</t>
  </si>
  <si>
    <t>Crime Comedy / Meta</t>
  </si>
  <si>
    <t>The Hot Spot</t>
  </si>
  <si>
    <t>The NeverEnding Story II: The Next Chapter</t>
  </si>
  <si>
    <t>Childflick / High-Concept Kids Fantasy / Sequel</t>
  </si>
  <si>
    <t>https://www.imdb.com/title/tt0100240/</t>
  </si>
  <si>
    <t>The Nutcracker Prince</t>
  </si>
  <si>
    <t>Childflick / Living Toy Fantasy / Animation / Forgotten Family</t>
  </si>
  <si>
    <t>Forgotten Gem</t>
  </si>
  <si>
    <t>https://www.imdb.com/title/tt0100281/</t>
  </si>
  <si>
    <t>The Reflecting Skin</t>
  </si>
  <si>
    <t>Surreal / Rural Uncanny / Arthouse / Gothic</t>
  </si>
  <si>
    <t>The Willies</t>
  </si>
  <si>
    <t>Eco / Creature Horror / Horror Anthology</t>
  </si>
  <si>
    <t>VHS Classic / Camp Classic / Creature Feature</t>
  </si>
  <si>
    <t>https://www.imdb.com/title/tt0103268/</t>
  </si>
  <si>
    <t>Total Recall</t>
  </si>
  <si>
    <t>Cyberpunk / Memory Tech / Mars Action Sci-Fi</t>
  </si>
  <si>
    <t>https://en.wikipedia.org/wiki/Total_Recall_(1990_film)</t>
  </si>
  <si>
    <t>Tremors</t>
  </si>
  <si>
    <t>Canon Anchor / Creature Feature</t>
  </si>
  <si>
    <t>Troll 2</t>
  </si>
  <si>
    <t>Outsider Fantasy Horror / Goblin Horror / Amateur Cult</t>
  </si>
  <si>
    <t>So-Bad-It's-Good / Cult Canon / Cult Oddity</t>
  </si>
  <si>
    <t>https://en.wikipedia.org/wiki/Troll_2</t>
  </si>
  <si>
    <t>964 Pinocchio</t>
  </si>
  <si>
    <t>A Rage in Harlem</t>
  </si>
  <si>
    <t>Black Crime Comedy / Noir</t>
  </si>
  <si>
    <t>Hotel Liminal / Surreal / Arthouse / Dark Comedy</t>
  </si>
  <si>
    <t>Bingo</t>
  </si>
  <si>
    <t>High-Concept Family / Video Store Cult / Animal Adventure / Comedy</t>
  </si>
  <si>
    <t>Forgotten Gem / Video Store Cult / Family Oddity</t>
  </si>
  <si>
    <t>Campfire Tales</t>
  </si>
  <si>
    <t>Cool as Ice</t>
  </si>
  <si>
    <t>Critters 3</t>
  </si>
  <si>
    <t>Delicatessen</t>
  </si>
  <si>
    <t>Artificial World / Surreal / Dark Comedy / Arthouse</t>
  </si>
  <si>
    <t>Dollman</t>
  </si>
  <si>
    <t>Sci-Fi / Action</t>
  </si>
  <si>
    <t>Drop Dead Fred</t>
  </si>
  <si>
    <t>Fantasy Comedy / Dark Comedy</t>
  </si>
  <si>
    <t>Dune Warriors</t>
  </si>
  <si>
    <t>Post-Apocalyptic / Corman / Philippine DTV</t>
  </si>
  <si>
    <t>https://en.wikipedia.org/wiki/Dune_Warriors</t>
  </si>
  <si>
    <t>Eve of Destruction</t>
  </si>
  <si>
    <t>Neon Action / Killer Android / Techno-Thriller</t>
  </si>
  <si>
    <t>https://en.wikipedia.org/wiki/Eve_of_Destruction_(film)</t>
  </si>
  <si>
    <t>Neon Action / Cyberpunk Martial Arts / Dystopian B-Action</t>
  </si>
  <si>
    <t>https://www.imdb.com/title/tt0101931/</t>
  </si>
  <si>
    <t>Highlander II: The Quickening</t>
  </si>
  <si>
    <t>Alternate Cut History / Needs Genre Review</t>
  </si>
  <si>
    <t>Highway Patrolman</t>
  </si>
  <si>
    <t>Hot Shots!</t>
  </si>
  <si>
    <t>Spoof / Action Parody / Slapstick</t>
  </si>
  <si>
    <t>House Party 2</t>
  </si>
  <si>
    <t>Hudson Hawk</t>
  </si>
  <si>
    <t>Comedy / Action</t>
  </si>
  <si>
    <t>Notorious Flop</t>
  </si>
  <si>
    <t>Kafka</t>
  </si>
  <si>
    <t>Surreal / Bureaucratic Nightmare / Arthouse</t>
  </si>
  <si>
    <t>Surreal / Road Dream</t>
  </si>
  <si>
    <t>Naked Lunch</t>
  </si>
  <si>
    <t>Body Horror / Surreal Horror</t>
  </si>
  <si>
    <t>Post-Apocalyptic / Road Warrior Clone</t>
  </si>
  <si>
    <t>https://en.wikipedia.org/wiki/Neon_City</t>
  </si>
  <si>
    <t>Nothing but Trouble</t>
  </si>
  <si>
    <t>Surreal / Grotesque Architecture / Dark Comedy</t>
  </si>
  <si>
    <t>Once Upon a Time in China</t>
  </si>
  <si>
    <t>Hong Kong Martial Arts Anchor / Wuxia Revival / Jet Li</t>
  </si>
  <si>
    <t>https://en.wikipedia.org/wiki/Once_Upon_a_Time_in_China</t>
  </si>
  <si>
    <t>Poison</t>
  </si>
  <si>
    <t>New Queer Cinema / Arthouse / Transgressive</t>
  </si>
  <si>
    <t>https://en.wikipedia.org/wiki/Poison_(1991_film)</t>
  </si>
  <si>
    <t>Popcorn</t>
  </si>
  <si>
    <t>Meta-Horror / Slasher</t>
  </si>
  <si>
    <t>Puppet Master II</t>
  </si>
  <si>
    <t>Robotrix</t>
  </si>
  <si>
    <t>Hong Kong Category III / Erotic Sci-Fi / Cyborg</t>
  </si>
  <si>
    <t>https://en.wikipedia.org/wiki/Robotrix</t>
  </si>
  <si>
    <t>Rock-a-Doodle</t>
  </si>
  <si>
    <t>Forgotten Family / Animation / Fantasy</t>
  </si>
  <si>
    <t>Samurai Cop</t>
  </si>
  <si>
    <t>Outsider Action / Cop Film / Martial Arts</t>
  </si>
  <si>
    <t>https://en.wikipedia.org/wiki/Samurai_Cop</t>
  </si>
  <si>
    <t>Sex and Zen</t>
  </si>
  <si>
    <t>Hong Kong Category III / Erotic Comedy / Period Cult</t>
  </si>
  <si>
    <t>https://en.wikipedia.org/wiki/Sex_and_Zen</t>
  </si>
  <si>
    <t>Showdown in Little Tokyo</t>
  </si>
  <si>
    <t>Neon Action / Martial Arts / Urban 90s</t>
  </si>
  <si>
    <t>VHS Classic / Visual Cult</t>
  </si>
  <si>
    <t>https://www.imdb.com/title/tt0102915/</t>
  </si>
  <si>
    <t>Stone Cold</t>
  </si>
  <si>
    <t>Neo-80s Action / Biker / VHS Action</t>
  </si>
  <si>
    <t>https://www.imdb.com/title/tt0102984/</t>
  </si>
  <si>
    <t>Subspecies</t>
  </si>
  <si>
    <t>Suburban Commando</t>
  </si>
  <si>
    <t>High-Concept Family / Video Store Cult / Sci-Fi Action Comedy / Star Vehicle</t>
  </si>
  <si>
    <t>VHS Classic / Video Store Cult / Camp Classic / Star Vehicle</t>
  </si>
  <si>
    <t>The Addams Family</t>
  </si>
  <si>
    <t>Dark Family / Gothic Comedy / Cult Anchor</t>
  </si>
  <si>
    <t>The Commitments</t>
  </si>
  <si>
    <t>Music / Comedy / Soul</t>
  </si>
  <si>
    <t>The Dark Backward</t>
  </si>
  <si>
    <t>Surreal / Grotesque Urban World</t>
  </si>
  <si>
    <t>The Doors</t>
  </si>
  <si>
    <t>Music / Biopic / Psychedelic</t>
  </si>
  <si>
    <t>The Naked Gun 2½: The Smell of Fear</t>
  </si>
  <si>
    <t>The Rapture</t>
  </si>
  <si>
    <t>The Terror Within II</t>
  </si>
  <si>
    <t>Trancers II</t>
  </si>
  <si>
    <t>Until the End of the World</t>
  </si>
  <si>
    <t>Tech-Noir / Global Road Movie / Future Tech / Arthouse Cult</t>
  </si>
  <si>
    <t>https://www.imdb.com/title/tt0101458/</t>
  </si>
  <si>
    <t>What About Bob?</t>
  </si>
  <si>
    <t>Dark Comedy / Buddy / Psychological</t>
  </si>
  <si>
    <t>Family Animal Adventure / Coming-of-Age / Wilderness</t>
  </si>
  <si>
    <t>https://movies.disney.com/white-fang</t>
  </si>
  <si>
    <t>High-Concept Family / Video Store Cult / Kids Action / Martial Arts</t>
  </si>
  <si>
    <t>Forgotten Gem / Video Store Cult / High-Concept</t>
  </si>
  <si>
    <t>976-EVIL II</t>
  </si>
  <si>
    <t>Bad Channels</t>
  </si>
  <si>
    <t>Sci-Fi / Comedy</t>
  </si>
  <si>
    <t>Bad Lieutenant</t>
  </si>
  <si>
    <t>Basket Case 3: The Progeny</t>
  </si>
  <si>
    <t>Bob Roberts</t>
  </si>
  <si>
    <t>Mockumentary / Political Satire / Folk Music</t>
  </si>
  <si>
    <t>https://en.wikipedia.org/wiki/Bob_Roberts</t>
  </si>
  <si>
    <t>Boomerang</t>
  </si>
  <si>
    <t>Black Romantic Comedy</t>
  </si>
  <si>
    <t>Brain Donors</t>
  </si>
  <si>
    <t>Slapstick / Marx Brothers Homage</t>
  </si>
  <si>
    <t>Braindead / Dead Alive</t>
  </si>
  <si>
    <t>CB4</t>
  </si>
  <si>
    <t>Black Comedy / Music Satire</t>
  </si>
  <si>
    <t>Cool World</t>
  </si>
  <si>
    <t>Adult Animation / Live-Action Hybrid / Dark Fantasy</t>
  </si>
  <si>
    <t>Notorious Flop / Cult Oddity</t>
  </si>
  <si>
    <t>https://www.imdb.com/title/tt0104009/</t>
  </si>
  <si>
    <t>Critters 4</t>
  </si>
  <si>
    <t>Death Becomes Her</t>
  </si>
  <si>
    <t>Demonic Toys</t>
  </si>
  <si>
    <t>Doctor Mordrid</t>
  </si>
  <si>
    <t>Dr. Giggles</t>
  </si>
  <si>
    <t>Dr. Lamb</t>
  </si>
  <si>
    <t>Hong Kong Category III / Serial Killer / Extreme Crime</t>
  </si>
  <si>
    <t>https://en.wikipedia.org/wiki/Dr._Lamb</t>
  </si>
  <si>
    <t>Dust Devil</t>
  </si>
  <si>
    <t>Encino Man</t>
  </si>
  <si>
    <t>Freejack</t>
  </si>
  <si>
    <t>Neon Action / Cyberpunk / Time-Displacement</t>
  </si>
  <si>
    <t>https://www.imdb.com/title/tt0104299/</t>
  </si>
  <si>
    <t>Full Contact</t>
  </si>
  <si>
    <t>Hong Kong Heroic Bloodshed / Crime / Gunplay / Sleaze Cult</t>
  </si>
  <si>
    <t>Hard Boiled</t>
  </si>
  <si>
    <t>Hong Kong Heroic Bloodshed / Gun-Fu / Police Action</t>
  </si>
  <si>
    <t>Honey, I Blew Up the Kid</t>
  </si>
  <si>
    <t>Childflick / High-Concept Family Sci-Fi / Giant Kid</t>
  </si>
  <si>
    <t>https://movies.disney.com/honey-i-blew-up-the-kid</t>
  </si>
  <si>
    <t>Man Bites Dog</t>
  </si>
  <si>
    <t>Mindwarp</t>
  </si>
  <si>
    <t>Mom and Dad Save the World</t>
  </si>
  <si>
    <t>High-Concept Family / Video Store Cult / Space Comedy / Sci-Fi Parody</t>
  </si>
  <si>
    <t>Cult Oddity / Video Store Cult / Camp Classic</t>
  </si>
  <si>
    <t>Naked Killer</t>
  </si>
  <si>
    <t>Hong Kong Category III / Girls-with-Guns / Erotic Action</t>
  </si>
  <si>
    <t>https://en.wikipedia.org/wiki/Naked_Killer</t>
  </si>
  <si>
    <t>Neon Action / Cyberpunk / Cyborg Gun-Fu</t>
  </si>
  <si>
    <t>https://www.imdb.com/title/tt0107668/</t>
  </si>
  <si>
    <t>Puppet Master III: Toulon's Revenge</t>
  </si>
  <si>
    <t>Raiders of the Sun</t>
  </si>
  <si>
    <t>Post-Apocalyptic / Philippine DTV / Action</t>
  </si>
  <si>
    <t>Seedpeople</t>
  </si>
  <si>
    <t>Sidekicks</t>
  </si>
  <si>
    <t>High-Concept Family / Video Store Cult / Martial Arts / Wish-Fulfilment</t>
  </si>
  <si>
    <t>Forgotten Gem / Video Store Cult / Star Vehicle</t>
  </si>
  <si>
    <t>Singles</t>
  </si>
  <si>
    <t>Music / Romance / Grunge</t>
  </si>
  <si>
    <t>https://en.wikipedia.org/wiki/Split_Second_(1992_film)</t>
  </si>
  <si>
    <t>Stay Tuned</t>
  </si>
  <si>
    <t>High-Concept Family / Video Store Cult / Fantasy Comedy / TV Satire</t>
  </si>
  <si>
    <t>Cult Canon / Video Store Cult / High-Concept</t>
  </si>
  <si>
    <t>Strictly Ballroom</t>
  </si>
  <si>
    <t>Dance / Romance / Comedy</t>
  </si>
  <si>
    <t>Tetsuo II: Body Hammer</t>
  </si>
  <si>
    <t>The Bodyguard</t>
  </si>
  <si>
    <t>Music / Romance / Thriller</t>
  </si>
  <si>
    <t>The Lawnmower Man</t>
  </si>
  <si>
    <t>Virtual Reality / Cyberpunk / Tech Horror</t>
  </si>
  <si>
    <t>https://en.wikipedia.org/wiki/The_Lawnmower_Man_(film)</t>
  </si>
  <si>
    <t>The Living End</t>
  </si>
  <si>
    <t>New Queer Cinema / Road Movie / Transgressive</t>
  </si>
  <si>
    <t>https://en.wikipedia.org/wiki/The_Living_End_(film)</t>
  </si>
  <si>
    <t>Ticks</t>
  </si>
  <si>
    <t>Surreal / Liminal / Artificial World</t>
  </si>
  <si>
    <t>Trancers III</t>
  </si>
  <si>
    <t>Twin Peaks: Fire Walk with Me</t>
  </si>
  <si>
    <t>Dream Logic / Liminal / Surreal / Arthouse</t>
  </si>
  <si>
    <t>Waxwork II: Lost in Time</t>
  </si>
  <si>
    <t>Wayne's World</t>
  </si>
  <si>
    <t>Music Comedy / Slacker</t>
  </si>
  <si>
    <t>White Men Can't Jump</t>
  </si>
  <si>
    <t>Black Comedy / Sports / Buddy</t>
  </si>
  <si>
    <t>American Cyborg: Steel Warrior</t>
  </si>
  <si>
    <t>Post-Apocalyptic / Cannon / Cyborg Action</t>
  </si>
  <si>
    <t>https://en.wikipedia.org/wiki/American_Cyborg%3A_Steel_Warrior</t>
  </si>
  <si>
    <t>Amityville: A New Generation</t>
  </si>
  <si>
    <t>Arcade</t>
  </si>
  <si>
    <t>Neon Cyber / Virtual Reality / Full Moon</t>
  </si>
  <si>
    <t>https://www.imdb.com/title/tt0106302/</t>
  </si>
  <si>
    <t>Boxing Helena</t>
  </si>
  <si>
    <t>Cemetery Man / Dellamorte Dellamore</t>
  </si>
  <si>
    <t>Outsider Action / Vanity Project / Crime</t>
  </si>
  <si>
    <t>So-Bad-It's-Good / Cult Oddity / Regional Oddity</t>
  </si>
  <si>
    <t>https://en.wikipedia.org/wiki/Champagne_and_Bullets</t>
  </si>
  <si>
    <t>Cop and a Half</t>
  </si>
  <si>
    <t>High-Concept Family / Video Store Cult / Buddy Cop / Kids Comedy</t>
  </si>
  <si>
    <t>Cronos</t>
  </si>
  <si>
    <t>Cyborg 2</t>
  </si>
  <si>
    <t>Dystopian / Cyberpunk</t>
  </si>
  <si>
    <t>Dark Waters</t>
  </si>
  <si>
    <t>Folk Horror / Occult Horror / Cosmic Horror</t>
  </si>
  <si>
    <t>https://en.wikipedia.org/wiki/Dark_Waters_(1993_film)</t>
  </si>
  <si>
    <t>Dazed and Confused</t>
  </si>
  <si>
    <t>Gen-X Anchor / Hangout Film / Teen</t>
  </si>
  <si>
    <t>Cult Canon / Canon Anchor / Genre Essential</t>
  </si>
  <si>
    <t>https://www.bfi.org.uk/features/dazed-confused-richard-linklater-high-school</t>
  </si>
  <si>
    <t>Dollman vs. Demonic Toys</t>
  </si>
  <si>
    <t>Fear of a Black Hat</t>
  </si>
  <si>
    <t>Black Comedy / Mockumentary / Music</t>
  </si>
  <si>
    <t>Fire in the Sky</t>
  </si>
  <si>
    <t>Firepower</t>
  </si>
  <si>
    <t>Freaked</t>
  </si>
  <si>
    <t>Family Animal Adventure / Kids Drama / Orca / 90s Anchor</t>
  </si>
  <si>
    <t>https://catalog.afi.com/Film/59531-FREE-WILLY</t>
  </si>
  <si>
    <t>Groundhog Day</t>
  </si>
  <si>
    <t>High-Concept Comedy / Fantasy</t>
  </si>
  <si>
    <t>Homeward Bound: The Incredible Journey</t>
  </si>
  <si>
    <t>Family Animal Adventure / Talking Pets / 90s Anchor</t>
  </si>
  <si>
    <t>https://en.wikipedia.org/wiki/Homeward_Bound%3A_The_Incredible_Journey</t>
  </si>
  <si>
    <t>Hot Shots! Part Deux</t>
  </si>
  <si>
    <t>Knights</t>
  </si>
  <si>
    <t>Post-Apocalyptic / Action</t>
  </si>
  <si>
    <t>Loaded Weapon 1</t>
  </si>
  <si>
    <t>Spoof / Police Parody / Action Comedy</t>
  </si>
  <si>
    <t>Meteor Man</t>
  </si>
  <si>
    <t>Black Superhero / Comedy</t>
  </si>
  <si>
    <t>Mr. Nanny</t>
  </si>
  <si>
    <t>High-Concept Family / Video Store Cult / Action Comedy / Star Vehicle</t>
  </si>
  <si>
    <t>Once Upon a Forest</t>
  </si>
  <si>
    <t>Forgotten Family / Animation / Adventure</t>
  </si>
  <si>
    <t>Kids Creature Features / Dinosaurs / Moonbeam Cult</t>
  </si>
  <si>
    <t>https://www.fullmoonfeatures.com/moonbeam</t>
  </si>
  <si>
    <t>Puppet Master 4</t>
  </si>
  <si>
    <t>High-Concept Family / Video Store Cult / Gadget Adventure</t>
  </si>
  <si>
    <t>VHS Classic / Video Store Cult / High-Concept</t>
  </si>
  <si>
    <t>https://www.imdb.com/title/tt0107944/</t>
  </si>
  <si>
    <t>Robin Hood: Men in Tights</t>
  </si>
  <si>
    <t>Historical Spoof / Parody</t>
  </si>
  <si>
    <t>Robot Wars</t>
  </si>
  <si>
    <t>Run and Kill</t>
  </si>
  <si>
    <t>Hong Kong Category III / Crime / Extreme Violence</t>
  </si>
  <si>
    <t>https://en.wikipedia.org/wiki/Run_and_Kill</t>
  </si>
  <si>
    <t>Skinner</t>
  </si>
  <si>
    <t>Super Mario Bros</t>
  </si>
  <si>
    <t>High-Concept Family / Video Store Cult / Industrial Fantasy / Video-Game Adaptation</t>
  </si>
  <si>
    <t>Cult Canon / Video Store Cult / Notorious Flop</t>
  </si>
  <si>
    <t>Surf Ninjas</t>
  </si>
  <si>
    <t>Swing Kids</t>
  </si>
  <si>
    <t>Dance / Music / Drama</t>
  </si>
  <si>
    <t>Tammy and the T-Rex</t>
  </si>
  <si>
    <t>The Dark Half</t>
  </si>
  <si>
    <t>The Halloween Tree</t>
  </si>
  <si>
    <t>Dark Family / Animation / Halloween / TV Cult</t>
  </si>
  <si>
    <t>The Nightmare Before Christmas</t>
  </si>
  <si>
    <t>Dark Family / Stop-Motion / Gothic / Cult Anchor</t>
  </si>
  <si>
    <t>Canon Anchor / Practical FX Showcase</t>
  </si>
  <si>
    <t>The Secret Adventures of Tom Thumb</t>
  </si>
  <si>
    <t>Childflick Adjacent / Miniature World / Stop-Motion / Dark Cult</t>
  </si>
  <si>
    <t>https://en.wikipedia.org/wiki/The_Secret_Adventures_of_Tom_Thumb</t>
  </si>
  <si>
    <t>The Untold Story</t>
  </si>
  <si>
    <t>Hong Kong Category III / Extreme Crime / Black Comedy</t>
  </si>
  <si>
    <t>https://en.wikipedia.org/wiki/The_Untold_Story</t>
  </si>
  <si>
    <t>We're Back! A Dinosaur's Story</t>
  </si>
  <si>
    <t>Childflick / Kids Fantasy Adventure / Dinosaurs</t>
  </si>
  <si>
    <t>☑</t>
  </si>
  <si>
    <t>https://www.imdb.com/title/tt0108526/</t>
  </si>
  <si>
    <t>What's Love Got to Do with It</t>
  </si>
  <si>
    <t>Music / Biopic / Drama</t>
  </si>
  <si>
    <t>3 Ninjas Kick Back</t>
  </si>
  <si>
    <t>Forgotten Family / Kids Action / Martial Arts</t>
  </si>
  <si>
    <t>A Low Down Dirty Shame</t>
  </si>
  <si>
    <t>Black Action Comedy / Detective</t>
  </si>
  <si>
    <t>A Troll in Central Park</t>
  </si>
  <si>
    <t>Airheads</t>
  </si>
  <si>
    <t>Amityville: Dollhouse</t>
  </si>
  <si>
    <t>Andre</t>
  </si>
  <si>
    <t>Family Animal Adventure / Kids Drama / Seal</t>
  </si>
  <si>
    <t>https://www.imdb.com/title/tt0109120/</t>
  </si>
  <si>
    <t>Baby's Day Out</t>
  </si>
  <si>
    <t>Forgotten Family / Comedy / Kids Adventure</t>
  </si>
  <si>
    <t>Family Animal Adventure / Horse Drama / Period</t>
  </si>
  <si>
    <t>https://en.wikipedia.org/wiki/Black_Beauty_%281994_film%29</t>
  </si>
  <si>
    <t>Blank Check</t>
  </si>
  <si>
    <t>High-Concept Family / Video Store Cult / Wish-Fulfilment Comedy</t>
  </si>
  <si>
    <t>Brainscan</t>
  </si>
  <si>
    <t>https://www.imdb.com/title/tt0109327/</t>
  </si>
  <si>
    <t>Forgotten Family / Kids Adventure / Summer Camp</t>
  </si>
  <si>
    <t>Camp Classic / Forgotten Gem</t>
  </si>
  <si>
    <t>Clerks</t>
  </si>
  <si>
    <t>Gen-X / Slacker / DIY Indie</t>
  </si>
  <si>
    <t>https://www.bfi.org.uk/lists/10-great-comedies-set-workplace</t>
  </si>
  <si>
    <t>CyberTracker</t>
  </si>
  <si>
    <t>Neon Action / Cyberpunk / Martial Arts</t>
  </si>
  <si>
    <t>DTV Cult / Visual Cult</t>
  </si>
  <si>
    <t>https://www.imdb.com/title/tt0109529/</t>
  </si>
  <si>
    <t>Dark Angel: The Ascent</t>
  </si>
  <si>
    <t>Death Machine</t>
  </si>
  <si>
    <t>Tech-Noir / Corporate Cyberpunk / Killer Machine</t>
  </si>
  <si>
    <t>https://www.imdb.com/title/tt0109575/</t>
  </si>
  <si>
    <t>Dellamorte Dellamore</t>
  </si>
  <si>
    <t>Double Dragon</t>
  </si>
  <si>
    <t>High-Concept Family / Video Store Cult / Video-Game Action / Dystopian Fantasy</t>
  </si>
  <si>
    <t>Cult Oddity / Video Store Cult / Notorious Flop</t>
  </si>
  <si>
    <t>Kids Creature Features / Dragon / DTV Family Fantasy</t>
  </si>
  <si>
    <t>DTV Cult / Genre Essential / Creature Feature</t>
  </si>
  <si>
    <t>https://en.wikipedia.org/wiki/Dragonworld</t>
  </si>
  <si>
    <t>Dumb and Dumber</t>
  </si>
  <si>
    <t>Slapstick / Road Comedy</t>
  </si>
  <si>
    <t>Tech-Noir / Cyberpunk / Hacker Underground / Indie Cult</t>
  </si>
  <si>
    <t>https://www.criterion.com/films/32845-fresh-kill</t>
  </si>
  <si>
    <t>Getting Even with Dad</t>
  </si>
  <si>
    <t>High-Concept Family / Video Store Cult / Kids Comedy / Crime</t>
  </si>
  <si>
    <t>Heavenly Creatures</t>
  </si>
  <si>
    <t>Crime / Arthouse</t>
  </si>
  <si>
    <t>House Party 3</t>
  </si>
  <si>
    <t>Black Comedy / Music / Party</t>
  </si>
  <si>
    <t>In the Mouth of Madness</t>
  </si>
  <si>
    <t>Family Animal Adventure / Kids Drama / Sled Dogs / Survival</t>
  </si>
  <si>
    <t>https://movies.disney.com/iron-will</t>
  </si>
  <si>
    <t>Lassie</t>
  </si>
  <si>
    <t>Family Animal Adventure / Kids Drama / Dog</t>
  </si>
  <si>
    <t>https://www.imdb.com/title/tt0110305/</t>
  </si>
  <si>
    <t>Monkey Trouble</t>
  </si>
  <si>
    <t>Forgotten Family / Animal Comedy / Kids Adventure</t>
  </si>
  <si>
    <t>Nadja</t>
  </si>
  <si>
    <t>North</t>
  </si>
  <si>
    <t>Forgotten Family / Surreal Kids Adventure / Oddity</t>
  </si>
  <si>
    <t>Oblivion</t>
  </si>
  <si>
    <t>Sci-Fi / Western</t>
  </si>
  <si>
    <t>Kids Creature Features / Alien Pets / Moonbeam</t>
  </si>
  <si>
    <t>https://www.americanhumane.org/production/pet-shop/</t>
  </si>
  <si>
    <t>Plughead Rewired: Circuitry Man II</t>
  </si>
  <si>
    <t>Post-Apocalyptic / Cyberpunk / DTV Sequel</t>
  </si>
  <si>
    <t>Prehysteria! 2</t>
  </si>
  <si>
    <t>Kids Creature Features / Dinosaurs / Moonbeam</t>
  </si>
  <si>
    <t>Pumpkinhead II: Blood Wings</t>
  </si>
  <si>
    <t>Puppet Master 5: The Final Chapter</t>
  </si>
  <si>
    <t>Reality Bites</t>
  </si>
  <si>
    <t>Gen-X / Slacker / 90s Culture / Studio Indie</t>
  </si>
  <si>
    <t>Time Capsule</t>
  </si>
  <si>
    <t>Red to Kill</t>
  </si>
  <si>
    <t>Hong Kong Category III / Extreme Thriller / Exploitation</t>
  </si>
  <si>
    <t>https://en.wikipedia.org/wiki/Red_to_Kill</t>
  </si>
  <si>
    <t>Childflick / 90s Kids Wish-Fulfilment / Comedy</t>
  </si>
  <si>
    <t>https://www.imdb.com/title/tt0110989/</t>
  </si>
  <si>
    <t>Scanner Cop</t>
  </si>
  <si>
    <t>Serial Mom</t>
  </si>
  <si>
    <t>Dark Comedy / Satire</t>
  </si>
  <si>
    <t>Shrunken Heads</t>
  </si>
  <si>
    <t>DTV Cult / Cult Oddity / Needs Genre Review</t>
  </si>
  <si>
    <t>Spanking the Monkey</t>
  </si>
  <si>
    <t>Neon Action / Cyborg Cops / PM Entertainment / DTV Cult</t>
  </si>
  <si>
    <t>https://www.imdb.com/title/tt0111345/</t>
  </si>
  <si>
    <t>Cult Oddity / Creature Feature</t>
  </si>
  <si>
    <t>https://www.imdb.com/title/tt0111361/</t>
  </si>
  <si>
    <t>TC 2000</t>
  </si>
  <si>
    <t>Sci-Fi / Martial Arts</t>
  </si>
  <si>
    <t>The Adventures of Priscilla, Queen of the Desert</t>
  </si>
  <si>
    <t>Queer Camp Anchor / Road Movie / Drag</t>
  </si>
  <si>
    <t>Cult Canon / Canon Anchor / Camp Classic</t>
  </si>
  <si>
    <t>https://en.wikipedia.org/wiki/The_Adventures_of_Priscilla,_Queen_of_the_Desert</t>
  </si>
  <si>
    <t>The Crow</t>
  </si>
  <si>
    <t>The Dark</t>
  </si>
  <si>
    <t>The Doom Generation</t>
  </si>
  <si>
    <t>Surreal / Road Unreality / Gen-X Cult</t>
  </si>
  <si>
    <t>The Hudsucker Proxy</t>
  </si>
  <si>
    <t>Artificial World / Corporate Liminal / Retro-Fantasy</t>
  </si>
  <si>
    <t>The Naked Gun 33⅓: The Final Insult</t>
  </si>
  <si>
    <t>The NeverEnding Story III</t>
  </si>
  <si>
    <t>Childflick / High-Concept Kids Fantasy / Forgotten Sequel</t>
  </si>
  <si>
    <t>https://www.imdb.com/title/tt0110647/</t>
  </si>
  <si>
    <t>Childflick / High-Concept Kids Fantasy / Animation</t>
  </si>
  <si>
    <t>https://www.imdb.com/title/tt0110763/</t>
  </si>
  <si>
    <t>The Swan Princess</t>
  </si>
  <si>
    <t>Thumbelina</t>
  </si>
  <si>
    <t>Trancers 4: Jack of Swords</t>
  </si>
  <si>
    <t>Trancers 5: Sudden Deth</t>
  </si>
  <si>
    <t>White Fang 2: Myth of the White Wolf</t>
  </si>
  <si>
    <t>Family Animal Adventure / Wilderness / Forgotten Sequel</t>
  </si>
  <si>
    <t>VHS Classic / Forgotten Gem</t>
  </si>
  <si>
    <t>https://en.wikipedia.org/wiki/White_Fang_2%3A_Myth_of_the_White_Wolf</t>
  </si>
  <si>
    <t>12 Monkeys</t>
  </si>
  <si>
    <t>Time Travel / Dystopian Sci-Fi / Pandemic Thriller</t>
  </si>
  <si>
    <t>https://en.wikipedia.org/wiki/12_Monkeys</t>
  </si>
  <si>
    <t>3 Ninjas Knuckle Up</t>
  </si>
  <si>
    <t>A Kid in King Arthur's Court</t>
  </si>
  <si>
    <t>Forgotten Family / Kids Fantasy / Time Travel</t>
  </si>
  <si>
    <t>Automatic</t>
  </si>
  <si>
    <t>Neon Action / Android / DTV Cyberpunk</t>
  </si>
  <si>
    <t>https://www.imdb.com/title/tt0112426/</t>
  </si>
  <si>
    <t>Family Animal Adventure / Kids Drama / Gorilla / Road Movie</t>
  </si>
  <si>
    <t>https://www.imdb.com/title/tt0113533/</t>
  </si>
  <si>
    <t>Bushwhacked</t>
  </si>
  <si>
    <t>High-Concept Family / Video Store Cult / Kids Adventure / Crime Comedy</t>
  </si>
  <si>
    <t>Castle Freak</t>
  </si>
  <si>
    <t>CyberTracker 2</t>
  </si>
  <si>
    <t>Sci-Fi / Cyberpunk / Action / Music</t>
  </si>
  <si>
    <t>Dead Man</t>
  </si>
  <si>
    <t>Demon Knight</t>
  </si>
  <si>
    <t>Dracula: Dead and Loving It</t>
  </si>
  <si>
    <t>Empire Records</t>
  </si>
  <si>
    <t>Music / Teen / Comedy</t>
  </si>
  <si>
    <t>Far from Home: The Adventures of Yellow Dog</t>
  </si>
  <si>
    <t>Family Animal Adventure / Kids Survival / Dog</t>
  </si>
  <si>
    <t>https://www.disneyplus.com/browse/entity-89a08408-f8aa-4d95-ab61-de2e742d9f14</t>
  </si>
  <si>
    <t>Free Willy 2: The Adventure Home</t>
  </si>
  <si>
    <t>Family Animal Adventure / Kids Drama / Orca / Sequel</t>
  </si>
  <si>
    <t>https://www.imdb.com/title/tt0113114/</t>
  </si>
  <si>
    <t>Friday</t>
  </si>
  <si>
    <t>Black Comedy / Stoner</t>
  </si>
  <si>
    <t>Adult Animation / Tech-Noir / Cyberpunk / Anime Cult</t>
  </si>
  <si>
    <t>https://www.bfi.org.uk/film/c18ea060-09e7-5784-9cff-944cc4801334/ghost-in-the-shell</t>
  </si>
  <si>
    <t>Gold Diggers: The Secret of Bear Mountain</t>
  </si>
  <si>
    <t>Forgotten Family / Kids Adventure / Mystery</t>
  </si>
  <si>
    <t>Habit</t>
  </si>
  <si>
    <t>Hackers</t>
  </si>
  <si>
    <t>Neon Cyber / Rave Tech / 90s Digital Cult</t>
  </si>
  <si>
    <t>https://en.wikipedia.org/wiki/Hackers_(film)</t>
  </si>
  <si>
    <t>Hologram Man</t>
  </si>
  <si>
    <t>Ice Cream Man</t>
  </si>
  <si>
    <t>Surreal / Institutional Liminal / Arthouse</t>
  </si>
  <si>
    <t>Tech-Noir / Cyberpunk Action / Data Courier</t>
  </si>
  <si>
    <t>https://www.criterion.com/current/posts/8225-the-replacements-ai-in-the-movies</t>
  </si>
  <si>
    <t>Childflick Anchor / Magical Game / Family Adventure</t>
  </si>
  <si>
    <t>https://www.imdb.com/title/tt0113497/</t>
  </si>
  <si>
    <t>Kids</t>
  </si>
  <si>
    <t>Gen-X Youth Realism / Transgressive Indie / Urban Youth / Social Realism</t>
  </si>
  <si>
    <t>Leprechaun 3</t>
  </si>
  <si>
    <t>Living in Oblivion</t>
  </si>
  <si>
    <t>90s Indie / Meta-Film / Low-Budget Comedy</t>
  </si>
  <si>
    <t>https://en.wikipedia.org/wiki/Living_in_Oblivion</t>
  </si>
  <si>
    <t>Kids Creature Features / Lake Monster / Family Fantasy</t>
  </si>
  <si>
    <t>Forgotten Gem / Creature Feature</t>
  </si>
  <si>
    <t>https://www.sonypictures.com/movies/magicinthewater</t>
  </si>
  <si>
    <t>Forgotten Family / DTV Fantasy / Kids Adventure</t>
  </si>
  <si>
    <t>DTV Cult / Forgotten Gem</t>
  </si>
  <si>
    <t>Mallrats</t>
  </si>
  <si>
    <t>Gen-X / Slacker Comedy / Kevin Smith</t>
  </si>
  <si>
    <t>Mosquito</t>
  </si>
  <si>
    <t>Family Animal Adventure / Talking Animals / Australian</t>
  </si>
  <si>
    <t>https://en.wikipedia.org/wiki/Napoleon_%281995_film%29</t>
  </si>
  <si>
    <t>Nemesis 2: Nebula</t>
  </si>
  <si>
    <t>Oblivion 2: Backlash</t>
  </si>
  <si>
    <t>Prehysteria! 3</t>
  </si>
  <si>
    <t>https://en.wikipedia.org/wiki/Prehysteria!</t>
  </si>
  <si>
    <t>Project: Metalbeast</t>
  </si>
  <si>
    <t>Proteus</t>
  </si>
  <si>
    <t>Puppet Master 5</t>
  </si>
  <si>
    <t>Rumpelstiltskin</t>
  </si>
  <si>
    <t>Run Barbi Run</t>
  </si>
  <si>
    <t>Safe</t>
  </si>
  <si>
    <t>Scanner Cop II</t>
  </si>
  <si>
    <t>Screamers</t>
  </si>
  <si>
    <t>Military Sci-Fi / Killer Machines / Philip K. Dick</t>
  </si>
  <si>
    <t>Cult Classic / VHS Classic</t>
  </si>
  <si>
    <t>https://en.wikipedia.org/wiki/Screamers_(1995_film)</t>
  </si>
  <si>
    <t>Showgirls</t>
  </si>
  <si>
    <t>Cult Canon / Camp Classic / Rediscovered Cult</t>
  </si>
  <si>
    <t>Species</t>
  </si>
  <si>
    <t>Creature Sci-Fi / Bio-Horror / Alien Hybrid</t>
  </si>
  <si>
    <t>https://en.wikipedia.org/wiki/Species_(film)</t>
  </si>
  <si>
    <t>Steel Frontier</t>
  </si>
  <si>
    <t>Post-Apocalyptic / DTV Western</t>
  </si>
  <si>
    <t>https://en.wikipedia.org/wiki/Steel_Frontier</t>
  </si>
  <si>
    <t>Tech-Noir / Technothriller / Memory Tech / 90s Cult</t>
  </si>
  <si>
    <t>https://www.bfi.org.uk/lists/10-great-technothrillers</t>
  </si>
  <si>
    <t>Tales from the Hood</t>
  </si>
  <si>
    <t>Tall Tale</t>
  </si>
  <si>
    <t>Forgotten Family / Fantasy Western / Kids Adventure</t>
  </si>
  <si>
    <t>Tank Girl</t>
  </si>
  <si>
    <t>Post-Apocalyptic / Comic / Cult Anchor</t>
  </si>
  <si>
    <t>The Addiction</t>
  </si>
  <si>
    <t>The Amazing Panda Adventure</t>
  </si>
  <si>
    <t>Family Animal Adventure / Kids Adventure / Panda</t>
  </si>
  <si>
    <t>https://en.wikipedia.org/wiki/The_Amazing_Panda_Adventure</t>
  </si>
  <si>
    <t>The Big Green</t>
  </si>
  <si>
    <t>Forgotten Family / Sports Comedy / Kids</t>
  </si>
  <si>
    <t>Dark Family Adjacent / Surreal / Arthouse / Artificial World</t>
  </si>
  <si>
    <t>The Eternal Evil of Asia</t>
  </si>
  <si>
    <t>Occult Horror / Splatter / Gore</t>
  </si>
  <si>
    <t>https://en.wikipedia.org/wiki/The_Eternal_Evil_of_Asia</t>
  </si>
  <si>
    <t>Childflick / Living Toys / Miniature Adventure</t>
  </si>
  <si>
    <t>https://www.paramountpictures.com/movies/the-indian-in-the-cupboard</t>
  </si>
  <si>
    <t>The Mangler</t>
  </si>
  <si>
    <t>Theodore Rex</t>
  </si>
  <si>
    <t>Forgotten Family / Dinosaur Buddy Comedy</t>
  </si>
  <si>
    <t>DTV Cult / Cult Oddity / Forgotten Gem</t>
  </si>
  <si>
    <t>Tokyo Fist</t>
  </si>
  <si>
    <t>Tom and Huck</t>
  </si>
  <si>
    <t>Forgotten Family / Period Kids Adventure</t>
  </si>
  <si>
    <t>Tommy Boy</t>
  </si>
  <si>
    <t>Buddy Comedy / Road</t>
  </si>
  <si>
    <t>Childflick Anchor / Living Toys / Animation</t>
  </si>
  <si>
    <t>https://www.imdb.com/title/tt0114709/</t>
  </si>
  <si>
    <t>Vampire in Brooklyn</t>
  </si>
  <si>
    <t>Virtuosity</t>
  </si>
  <si>
    <t>Tech-Noir Adjacent / Virtual Reality / AI Action</t>
  </si>
  <si>
    <t>https://www.imdb.com/title/tt0114857/</t>
  </si>
  <si>
    <t>Welcome to the Dollhouse</t>
  </si>
  <si>
    <t>90s Indie / Dark Coming-of-Age / Suburban Cruelty</t>
  </si>
  <si>
    <t>https://en.wikipedia.org/wiki/Welcome_to_the_Dollhouse</t>
  </si>
  <si>
    <t>Adrenalin: Fear the Rush</t>
  </si>
  <si>
    <t>Family Animal Adventure / Kids Survival / Polar Bear</t>
  </si>
  <si>
    <t>https://en.wikipedia.org/wiki/Alaska_%281996_film%29</t>
  </si>
  <si>
    <t>Bad Moon</t>
  </si>
  <si>
    <t>Barb Wire</t>
  </si>
  <si>
    <t>Bogus</t>
  </si>
  <si>
    <t>Forgotten Family / Fantasy Drama / Kids</t>
  </si>
  <si>
    <t>Bound</t>
  </si>
  <si>
    <t>Cannibal! The Musical</t>
  </si>
  <si>
    <t>Music</t>
  </si>
  <si>
    <t>Crash</t>
  </si>
  <si>
    <t>Digital Man</t>
  </si>
  <si>
    <t>Neon Action / Cyborg / DTV Sci-Fi</t>
  </si>
  <si>
    <t>VHS Classic / DTV Cult / Visual Cult</t>
  </si>
  <si>
    <t>https://www.imdb.com/title/tt0112867/</t>
  </si>
  <si>
    <t>Don't Be a Menace to South Central While Drinking Your Juice in the Hood</t>
  </si>
  <si>
    <t>Black Comedy / Spoof / Parody</t>
  </si>
  <si>
    <t>Dunston Checks In</t>
  </si>
  <si>
    <t>Ebola Syndrome</t>
  </si>
  <si>
    <t>Splatter / Gore / Horror Comedy</t>
  </si>
  <si>
    <t>https://en.wikipedia.org/wiki/Ebola_Syndrome</t>
  </si>
  <si>
    <t>Escape from L.A.</t>
  </si>
  <si>
    <t>Dystopian Action / Post-Apocalyptic / Carpenter Cult</t>
  </si>
  <si>
    <t>Cult Classic / Notorious Flop</t>
  </si>
  <si>
    <t>https://en.wikipedia.org/wiki/Escape_from_L.A.</t>
  </si>
  <si>
    <t>Feeders</t>
  </si>
  <si>
    <t>Outsider Sci-Fi Horror / Alien Creature / Microbudget</t>
  </si>
  <si>
    <t>Regional Oddity / DTV Cult / Creature Feature</t>
  </si>
  <si>
    <t>https://en.wikipedia.org/wiki/Feeders_(film)</t>
  </si>
  <si>
    <t>First Kid</t>
  </si>
  <si>
    <t>High-Concept Family / Video Store Cult / Kids Comedy / Bodyguard</t>
  </si>
  <si>
    <t>Flipper</t>
  </si>
  <si>
    <t>Family Animal Adventure / Kids Drama / Dolphin</t>
  </si>
  <si>
    <t>https://www.imdb.com/title/tt0116322/</t>
  </si>
  <si>
    <t>Family Animal Adventure / Kids Drama / Geese / Arthouse-leaning</t>
  </si>
  <si>
    <t>https://en.wikipedia.org/wiki/Fly_Away_Home</t>
  </si>
  <si>
    <t>Forgotten Silver</t>
  </si>
  <si>
    <t>Mockumentary / Fake Film History / New Zealand</t>
  </si>
  <si>
    <t>Genre Foundation / Rediscovered Cult</t>
  </si>
  <si>
    <t>https://www.bfi.org.uk/film/068f84e0-afd7-5c26-98c9-64077ca33110/forgotten-silver</t>
  </si>
  <si>
    <t>Freeway</t>
  </si>
  <si>
    <t>Kids Creature Features / Giant Creature / Fantasy</t>
  </si>
  <si>
    <t>https://en.wikipedia.org/wiki/Galgameth</t>
  </si>
  <si>
    <t>Head of the Family</t>
  </si>
  <si>
    <t>Horror Comedy / TV Horror</t>
  </si>
  <si>
    <t>High School High</t>
  </si>
  <si>
    <t>School Spoof / Parody</t>
  </si>
  <si>
    <t>Homeward Bound II: Lost in San Francisco</t>
  </si>
  <si>
    <t>Family Animal Adventure / Talking Pets / Forgotten Sequel</t>
  </si>
  <si>
    <t>https://en.wikipedia.org/wiki/Homeward_Bound_II%3A_Lost_in_San_Francisco</t>
  </si>
  <si>
    <t>House Arrest</t>
  </si>
  <si>
    <t>High-Concept Family / Video Store Cult / Kids Comedy / Family Farce</t>
  </si>
  <si>
    <t>Jack Frost</t>
  </si>
  <si>
    <t>James and the Giant Peach</t>
  </si>
  <si>
    <t>Dark Family / Stop-Motion / Surreal Fantasy</t>
  </si>
  <si>
    <t>Kazaam</t>
  </si>
  <si>
    <t>High-Concept Family / Video Store Cult / Fantasy Comedy / Star Vehicle</t>
  </si>
  <si>
    <t>Camp Classic / Video Store Cult / Star Vehicle / 90s Time Capsule</t>
  </si>
  <si>
    <t>Kingpin</t>
  </si>
  <si>
    <t>Sports Comedy / Road</t>
  </si>
  <si>
    <t>Larger than Life</t>
  </si>
  <si>
    <t>Forgotten Family / Road Comedy / Animal Adventure</t>
  </si>
  <si>
    <t>Leprechaun 4: In Space</t>
  </si>
  <si>
    <t>DTV Cult / Camp Classic</t>
  </si>
  <si>
    <t>Mystery Science Theater 3000: The Movie</t>
  </si>
  <si>
    <t>Naked Acts</t>
  </si>
  <si>
    <t>Rediscovered Cult / Needs Genre Review</t>
  </si>
  <si>
    <t>Nemesis 3: Prey Harder</t>
  </si>
  <si>
    <t>Nemesis 4: Death Angel</t>
  </si>
  <si>
    <t>Omega Doom</t>
  </si>
  <si>
    <t>https://en.wikipedia.org/wiki/Omega_Doom</t>
  </si>
  <si>
    <t>Original Gangstas</t>
  </si>
  <si>
    <t>Blaxploitation Revival / Action</t>
  </si>
  <si>
    <t>Petticoat Planet</t>
  </si>
  <si>
    <t>Sci-Fi / Comedy / Western</t>
  </si>
  <si>
    <t>Pinocchio's Revenge</t>
  </si>
  <si>
    <t>Rubber's Lover</t>
  </si>
  <si>
    <t>Japanese Cyberpunk / Underground / Psychic Tech</t>
  </si>
  <si>
    <t>https://en.wikipedia.org/wiki/Rubber%27s_Lover</t>
  </si>
  <si>
    <t>Santa with Muscles</t>
  </si>
  <si>
    <t>High-Concept Family / Video Store Cult / Christmas Comedy / Star Vehicle</t>
  </si>
  <si>
    <t>So-Bad-It's-Good / Video Store Cult / Camp Classic / Star Vehicle</t>
  </si>
  <si>
    <t>Solo</t>
  </si>
  <si>
    <t>Spy Hard</t>
  </si>
  <si>
    <t>Spy Spoof / Parody</t>
  </si>
  <si>
    <t>That Thing You Do!</t>
  </si>
  <si>
    <t>Music / Comedy / Pop</t>
  </si>
  <si>
    <t>The Adventures of Pinocchio</t>
  </si>
  <si>
    <t>Childflick / Living Toy / Family Fantasy</t>
  </si>
  <si>
    <t>https://en.wikipedia.org/wiki/The_Adventures_of_Pinocchio_(1996_film)</t>
  </si>
  <si>
    <t>The Arrival</t>
  </si>
  <si>
    <t>Alien Conspiracy / Eco Sci-Fi / Techno-Thriller</t>
  </si>
  <si>
    <t>https://en.wikipedia.org/wiki/The_Arrival_(1996_film)</t>
  </si>
  <si>
    <t>The Cable Guy</t>
  </si>
  <si>
    <t>Suburban Uncanny / Media Nightmare / Dark Comedy</t>
  </si>
  <si>
    <t>The Craft</t>
  </si>
  <si>
    <t>The Dentist</t>
  </si>
  <si>
    <t>The Frighteners</t>
  </si>
  <si>
    <t>The Island of Dr. Moreau</t>
  </si>
  <si>
    <t>The Stupids</t>
  </si>
  <si>
    <t>Uncle Sam</t>
  </si>
  <si>
    <t>Waiting for Guffman</t>
  </si>
  <si>
    <t>Mockumentary / Community Theatre / Christopher Guest</t>
  </si>
  <si>
    <t>https://en.wikipedia.org/wiki/Waiting_for_Guffman</t>
  </si>
  <si>
    <t>A Simple Wish</t>
  </si>
  <si>
    <t>Forgotten Family / Fantasy Comedy / Kids Adventure</t>
  </si>
  <si>
    <t>Air Bud</t>
  </si>
  <si>
    <t>Family Animal Adventure / Kids Sports / Dog</t>
  </si>
  <si>
    <t>https://www.imdb.com/title/tt0118570/</t>
  </si>
  <si>
    <t>Alien Escape</t>
  </si>
  <si>
    <t>Austin Powers: International Man of Mystery</t>
  </si>
  <si>
    <t>B*A*P*S</t>
  </si>
  <si>
    <t>Black Comedy / Camp</t>
  </si>
  <si>
    <t>Booty Call</t>
  </si>
  <si>
    <t>Black Comedy / Sex Comedy</t>
  </si>
  <si>
    <t>Contact</t>
  </si>
  <si>
    <t>First Contact / Philosophical Sci-Fi / SETI</t>
  </si>
  <si>
    <t>https://en.wikipedia.org/wiki/Contact_(1997_American_film)</t>
  </si>
  <si>
    <t>Cure</t>
  </si>
  <si>
    <t>Psychological Horror / Crime / Hypnotic Horror / Urban Dread</t>
  </si>
  <si>
    <t>Cult Canon / Genre Essential / J-Horror Precursor</t>
  </si>
  <si>
    <t>https://www.bfi.org.uk/lists/10-great-films-1997</t>
  </si>
  <si>
    <t>Dobermann</t>
  </si>
  <si>
    <t>Drive</t>
  </si>
  <si>
    <t>Neon Action / Cyber-Enhanced Martial Arts / DTV Cult</t>
  </si>
  <si>
    <t>https://en.wikipedia.org/wiki/Drive_(1997_film)</t>
  </si>
  <si>
    <t>Event Horizon</t>
  </si>
  <si>
    <t>Flubber</t>
  </si>
  <si>
    <t>Mainstream Reminder / Family Sci-Fi Comedy</t>
  </si>
  <si>
    <t>Free Willy 3: The Rescue</t>
  </si>
  <si>
    <t>Family Animal Adventure / Kids Drama / Orca / Forgotten Sequel</t>
  </si>
  <si>
    <t>https://www.imdb.com/title/tt0119152/</t>
  </si>
  <si>
    <t>Funny Games</t>
  </si>
  <si>
    <t>Future War</t>
  </si>
  <si>
    <t>Outsider Sci-Fi Action / DTV / Cyborg-Dinosaur Oddity</t>
  </si>
  <si>
    <t>DTV Cult / So-Bad-It's-Good / Cult Oddity</t>
  </si>
  <si>
    <t>https://en.wikipedia.org/wiki/Future_War</t>
  </si>
  <si>
    <t>Gattaca</t>
  </si>
  <si>
    <t>Biopunk / Genetic Dystopia / Social Sci-Fi</t>
  </si>
  <si>
    <t>https://en.wikipedia.org/wiki/Gattaca</t>
  </si>
  <si>
    <t>Gummo</t>
  </si>
  <si>
    <t>Hideous!</t>
  </si>
  <si>
    <t>Honey, We Shrunk Ourselves</t>
  </si>
  <si>
    <t>Childflick / Miniature Adventure / DTV Family Sci-Fi</t>
  </si>
  <si>
    <t>https://en.wikipedia.org/wiki/Honey,_We_Shrunk_Ourselves</t>
  </si>
  <si>
    <t>Lost Highway</t>
  </si>
  <si>
    <t>Psychological Surrealism / Dream Logic / Identity Horror / Neo-Noir</t>
  </si>
  <si>
    <t>Genre Essential / Visual Cult / Identity Cinema</t>
  </si>
  <si>
    <t>Mean Guns</t>
  </si>
  <si>
    <t>Tech-Noir / Cyberpunk / Artificial Intelligence / Euro Cult</t>
  </si>
  <si>
    <t>https://en.wikipedia.org/wiki/Nirvana_(1997_film)</t>
  </si>
  <si>
    <t>Nowhere</t>
  </si>
  <si>
    <t>Office Killer</t>
  </si>
  <si>
    <t>Orgazmo</t>
  </si>
  <si>
    <t>Perdita Durango</t>
  </si>
  <si>
    <t>Perfect Blue</t>
  </si>
  <si>
    <t>Psychological Horror / Identity Horror / Media Paranoia / Anime</t>
  </si>
  <si>
    <t>https://www.bfi.org.uk/lists/10-great-films-featuring-film-within-film</t>
  </si>
  <si>
    <t>Pocket Ninjas</t>
  </si>
  <si>
    <t>Outsider Kids Action / Martial Arts / DTV</t>
  </si>
  <si>
    <t>So-Bad-It's-Good / DTV Cult / Cult Oddity</t>
  </si>
  <si>
    <t>https://en.wikipedia.org/wiki/Pocket_Ninjas</t>
  </si>
  <si>
    <t>Retroactive</t>
  </si>
  <si>
    <t>RocketMan</t>
  </si>
  <si>
    <t>Forgotten Family / Space Comedy</t>
  </si>
  <si>
    <t>Romy and Michele's High School Reunion</t>
  </si>
  <si>
    <t>Comedy / Female Friendship</t>
  </si>
  <si>
    <t>Spice World</t>
  </si>
  <si>
    <t>Music / Pop / Camp</t>
  </si>
  <si>
    <t>Star Kid</t>
  </si>
  <si>
    <t>Kids Creature Features / Alien Creature / Sci-Fi Adventure</t>
  </si>
  <si>
    <t>https://en.wikipedia.org/wiki/Star_Kid</t>
  </si>
  <si>
    <t>Starship Troopers</t>
  </si>
  <si>
    <t>Canon Anchor / Rediscovered Cult</t>
  </si>
  <si>
    <t>Steel</t>
  </si>
  <si>
    <t>High-Concept Family / Video Store Cult / Superhero Action / Star Vehicle</t>
  </si>
  <si>
    <t>Cult Oddity / Video Store Cult / Notorious Flop / Star Vehicle</t>
  </si>
  <si>
    <t>Childflick / Miniature People / Family Fantasy</t>
  </si>
  <si>
    <t>https://www.imdb.com/title/tt0118755/</t>
  </si>
  <si>
    <t>The Creeps</t>
  </si>
  <si>
    <t>Comedy / Monster</t>
  </si>
  <si>
    <t>The Night Flier</t>
  </si>
  <si>
    <t>The Ugly</t>
  </si>
  <si>
    <t>Totem</t>
  </si>
  <si>
    <t>High-Concept Family / Video Store Cult / Portal Fantasy / Kids Action</t>
  </si>
  <si>
    <t>Cult Canon / Video Store Cult / Cult Oddity</t>
  </si>
  <si>
    <t>https://www.imdb.com/title/tt0120479/</t>
  </si>
  <si>
    <t>Wishmaster</t>
  </si>
  <si>
    <t>Zeus and Roxanne</t>
  </si>
  <si>
    <t>Family Animal Adventure / Kids Comedy / Dog &amp; Dolphin</t>
  </si>
  <si>
    <t>https://www.imdb.com/title/tt0120550/</t>
  </si>
  <si>
    <t>3 Ninjas: High Noon at Mega Mountain</t>
  </si>
  <si>
    <t>Forgotten Family / Kids Action / Martial Arts / DTV-era</t>
  </si>
  <si>
    <t>BASEketball</t>
  </si>
  <si>
    <t>Sports Comedy / Absurdist</t>
  </si>
  <si>
    <t>Blade</t>
  </si>
  <si>
    <t>Bride of Chucky</t>
  </si>
  <si>
    <t>Buffalo '66</t>
  </si>
  <si>
    <t>Children of the Corn V: Fields of Terror</t>
  </si>
  <si>
    <t>Curse of the Puppet Master</t>
  </si>
  <si>
    <t>Tech-Noir / Artificial City / Neo-Noir / Sci-Fi Cult</t>
  </si>
  <si>
    <t>https://www.imdb.com/title/tt0118929/</t>
  </si>
  <si>
    <t>Fear and Loathing in Las Vegas</t>
  </si>
  <si>
    <t>Half Baked</t>
  </si>
  <si>
    <t>Stoner Comedy / Black Comedy</t>
  </si>
  <si>
    <t>Happiness</t>
  </si>
  <si>
    <t>Legion</t>
  </si>
  <si>
    <t>Mafia!</t>
  </si>
  <si>
    <t>Crime Spoof / Parody</t>
  </si>
  <si>
    <t>Tech-Noir / Corporate Espionage / Cyberpunk / Arthouse Cult</t>
  </si>
  <si>
    <t>https://en.wikipedia.org/wiki/New_Rose_Hotel_(film)</t>
  </si>
  <si>
    <t>Phantoms</t>
  </si>
  <si>
    <t>Pi</t>
  </si>
  <si>
    <t>Tech-Noir Adjacent / Tech Paranoia / Urban Arthouse</t>
  </si>
  <si>
    <t>https://www.imdb.com/title/tt0138704/</t>
  </si>
  <si>
    <t>Pleasantville</t>
  </si>
  <si>
    <t>Artificial World / Suburban Uncanny / Satire</t>
  </si>
  <si>
    <t>Quest for Camelot</t>
  </si>
  <si>
    <t>Shrieker</t>
  </si>
  <si>
    <t>Post-Apocalyptic / Indie / Samurai / Rockabilly</t>
  </si>
  <si>
    <t>https://filmmakermagazine.com/archives/issues/summer1998/better_tomorrow.php</t>
  </si>
  <si>
    <t>SLC Punk!</t>
  </si>
  <si>
    <t>Gen-X / Punk / 90s Indie</t>
  </si>
  <si>
    <t>https://en.wikipedia.org/wiki/SLC_Punk!</t>
  </si>
  <si>
    <t>Childflick / Living Toys / Suburban Action</t>
  </si>
  <si>
    <t>https://www.paramountpictures.com/movies/small-soldiers</t>
  </si>
  <si>
    <t>Soldier</t>
  </si>
  <si>
    <t>Dystopian / Sci-Fi Action</t>
  </si>
  <si>
    <t>Still Crazy</t>
  </si>
  <si>
    <t>Music / Comedy / Rock</t>
  </si>
  <si>
    <t>Subspecies 4: Bloodstorm</t>
  </si>
  <si>
    <t>Terror Firmer</t>
  </si>
  <si>
    <t>The Big Lebowski</t>
  </si>
  <si>
    <t>The Dentist 2</t>
  </si>
  <si>
    <t>The Faculty</t>
  </si>
  <si>
    <t>Alien Invasion / Teen Sci-Fi / Body-Snatcher Horror</t>
  </si>
  <si>
    <t>https://en.wikipedia.org/wiki/The_Faculty</t>
  </si>
  <si>
    <t>The Gingerdead Man</t>
  </si>
  <si>
    <t>DTV Cult / Cult Oddity</t>
  </si>
  <si>
    <t>The Killer Eye</t>
  </si>
  <si>
    <t>The Last Broadcast</t>
  </si>
  <si>
    <t>The Sender</t>
  </si>
  <si>
    <t>The Truman Show</t>
  </si>
  <si>
    <t>Velvet Goldmine</t>
  </si>
  <si>
    <t>Music / Glam Rock / Arthouse</t>
  </si>
  <si>
    <t>Audition</t>
  </si>
  <si>
    <t>Psychological Horror / Relationship Horror / Extreme Horror</t>
  </si>
  <si>
    <t>Austin Powers: The Spy Who Shagged Me</t>
  </si>
  <si>
    <t>Being John Malkovich</t>
  </si>
  <si>
    <t>Surreal / Office Liminal / Dark Comedy</t>
  </si>
  <si>
    <t>Blood Dolls</t>
  </si>
  <si>
    <t>But I'm a Cheerleader</t>
  </si>
  <si>
    <t>Children of the Corn 666: Isaac's Return</t>
  </si>
  <si>
    <t>Detroit Rock City</t>
  </si>
  <si>
    <t>eXistenZ</t>
  </si>
  <si>
    <t>Tech-Noir Adjacent / Biopunk / Artificial Reality</t>
  </si>
  <si>
    <t>https://www.imdb.com/title/tt0120907/</t>
  </si>
  <si>
    <t>Eyes Wide Shut</t>
  </si>
  <si>
    <t>Galaxy Quest</t>
  </si>
  <si>
    <t>Ghost Dog: The Way of the Samurai</t>
  </si>
  <si>
    <t>Go</t>
  </si>
  <si>
    <t>Human Traffic</t>
  </si>
  <si>
    <t>Idle Hands</t>
  </si>
  <si>
    <t>Jesus' Son</t>
  </si>
  <si>
    <t>Life</t>
  </si>
  <si>
    <t>Black Comedy-Drama / Prison / Buddy</t>
  </si>
  <si>
    <t>Mystery Men</t>
  </si>
  <si>
    <t>Comedy / Superhero</t>
  </si>
  <si>
    <t>Office Space</t>
  </si>
  <si>
    <t>Workplace Comedy / Satire</t>
  </si>
  <si>
    <t>Ravenous</t>
  </si>
  <si>
    <t>Retro Puppet Master</t>
  </si>
  <si>
    <t>The 4th Floor</t>
  </si>
  <si>
    <t>The Blair Witch Project</t>
  </si>
  <si>
    <t>Found Footage / Folk Horror / Supernatural Horror</t>
  </si>
  <si>
    <t>https://en.wikipedia.org/wiki/The_Blair_Witch_Project</t>
  </si>
  <si>
    <t>The Boondock Saints</t>
  </si>
  <si>
    <t>The Item</t>
  </si>
  <si>
    <t>The Limey</t>
  </si>
  <si>
    <t>The New Adventures of Pinocchio</t>
  </si>
  <si>
    <t>Childflick / Living Toy / Family Fantasy / Forgotten Sequel</t>
  </si>
  <si>
    <t>https://www.imdb.com/title/tt0199954/</t>
  </si>
  <si>
    <t>The Straight Story</t>
  </si>
  <si>
    <t>Tech-Noir / Virtual Reality / Detective Mystery</t>
  </si>
  <si>
    <t>https://www.imdb.com/title/tt0139809/</t>
  </si>
  <si>
    <t>The Wood</t>
  </si>
  <si>
    <t>Black Comedy-Drama / Coming-of-age</t>
  </si>
  <si>
    <t>https://www.imdb.com/title/tt0120363/</t>
  </si>
  <si>
    <t>Velocity Trap</t>
  </si>
  <si>
    <t>A Trip to the Moon</t>
  </si>
  <si>
    <t>Pre-1960 Foundation / Sci-Fi / Trick Film / Surreal</t>
  </si>
  <si>
    <t>Genre Foundation / Practical FX Showcase</t>
  </si>
  <si>
    <t>https://www.bfi.org.uk/features/where-begin-georges-melies</t>
  </si>
  <si>
    <t>The Cabinet of Dr. Caligari</t>
  </si>
  <si>
    <t>https://www.bfi.org.uk/features/100-years-cabinet-dr-caligari</t>
  </si>
  <si>
    <t>The Golem: How He Came into the World</t>
  </si>
  <si>
    <t>Genre Foundation / Creature Feature / Visual Cult</t>
  </si>
  <si>
    <t>https://www.bfi.org.uk/lists/10-great-german-horror-films</t>
  </si>
  <si>
    <t>Häxan</t>
  </si>
  <si>
    <t>https://www.bfi.org.uk/lists/great-horror-film-from-every-year-from-1922-now</t>
  </si>
  <si>
    <t>Nosferatu</t>
  </si>
  <si>
    <t>https://www.bfi.org.uk/lists/10-great-german-expressionist-films</t>
  </si>
  <si>
    <t>Metropolis</t>
  </si>
  <si>
    <t>Pre-1960 Foundation / Retro-Futurism / Dystopian Sci-Fi / Expressionism</t>
  </si>
  <si>
    <t>https://www.bfi.org.uk/film/bda6ff8a-ed7e-5942-980d-c2910c0120ec/metropolis</t>
  </si>
  <si>
    <t>Dracula</t>
  </si>
  <si>
    <t>https://www.bfi.org.uk/features/where-begin-universal-horror-cycle</t>
  </si>
  <si>
    <t>Frankenstein</t>
  </si>
  <si>
    <t>M</t>
  </si>
  <si>
    <t>Pre-1960 Foundation / Crime / Proto-Noir / Serial Killer</t>
  </si>
  <si>
    <t>https://www.bfi.org.uk/lists/10-great-german-films</t>
  </si>
  <si>
    <t>Freaks</t>
  </si>
  <si>
    <t>Pre-1960 Foundation / Transgressive / Circus</t>
  </si>
  <si>
    <t>Cult Canon / Genre Foundation / Genre Essential / Banned / Controversial</t>
  </si>
  <si>
    <t>https://www.bfi.org.uk/lists/10-great-censored-films</t>
  </si>
  <si>
    <t>Vampyr</t>
  </si>
  <si>
    <t>https://www.bfi.org.uk/lists/10-great-horror-films-1930s</t>
  </si>
  <si>
    <t>Pre-1960 Anchor / Creature Feature / Adventure / Effects</t>
  </si>
  <si>
    <t>Canon Anchor / Practical FX Showcase / Creature Feature</t>
  </si>
  <si>
    <t>https://www.bfi.org.uk/features/king-kong-1933-10-things-know</t>
  </si>
  <si>
    <t>The Invisible Man</t>
  </si>
  <si>
    <t>Cult Oddity / Genre Foundation / Genre Essential</t>
  </si>
  <si>
    <t>https://www.bfi.org.uk/lists/hg-wells-10-essential-film-adaptations</t>
  </si>
  <si>
    <t>Bride of Frankenstein</t>
  </si>
  <si>
    <t>Gothic Horror / Eco / Creature Horror</t>
  </si>
  <si>
    <t>Camp Classic / Genre Foundation / Creature Feature</t>
  </si>
  <si>
    <t>https://www.bfi.org.uk/film/c2ee8de0-0ac0-5b7f-8dc9-e2de39ba4a1a/bride-of-frankenstein</t>
  </si>
  <si>
    <t>Pre-1960 Foundation / Retro-Futurism / Dystopian Sci-Fi</t>
  </si>
  <si>
    <t>https://www.bfi.org.uk/film/15a15bb4-4074-52fb-9ae7-792406d3e2af/things-to-come</t>
  </si>
  <si>
    <t>The Wizard of Oz</t>
  </si>
  <si>
    <t>Pre-1960 Anchor / Fantasy / Artificial World / Technicolor</t>
  </si>
  <si>
    <t>Canon Anchor / Genre Foundation / Visual Cult</t>
  </si>
  <si>
    <t>https://www.bfi.org.uk/features/where-begin-technicolor</t>
  </si>
  <si>
    <t>Dr. Cyclops</t>
  </si>
  <si>
    <t>https://www.bfi.org.uk/features/short-history-shrinking-people-film</t>
  </si>
  <si>
    <t>The Maltese Falcon</t>
  </si>
  <si>
    <t>Pre-1960 Anchor / Film Noir / Detective / Crime</t>
  </si>
  <si>
    <t>https://www.bfi.org.uk/lists/10-great-american-film-noirs</t>
  </si>
  <si>
    <t>Cat People</t>
  </si>
  <si>
    <t>https://www.bfi.org.uk/lists/10-great-erotic-horror-films</t>
  </si>
  <si>
    <t>Dead of Night</t>
  </si>
  <si>
    <t>Supernatural Horror / Horror Anthology</t>
  </si>
  <si>
    <t>https://www.bfi.org.uk/lists/10-great-british-horror-films</t>
  </si>
  <si>
    <t>The Third Man</t>
  </si>
  <si>
    <t>Pre-1960 Foundation / Noir / Postwar Urban</t>
  </si>
  <si>
    <t>https://www.bfi.org.uk/film/66989662-47c2-5fc6-9085-b0107ca99723/the-third-man</t>
  </si>
  <si>
    <t>Sunset Blvd.</t>
  </si>
  <si>
    <t>Pre-1960 Foundation / Gothic Noir / Hollywood Nightmare</t>
  </si>
  <si>
    <t>https://www.bfi.org.uk/film/f43ad3dd-1b5b-5f19-aa10-5f29d8f33da2/sunset-blvd</t>
  </si>
  <si>
    <t>The Day the Earth Stood Still</t>
  </si>
  <si>
    <t>Pre-1960 Anchor / Alien Sci-Fi / Cold War / Robot</t>
  </si>
  <si>
    <t>https://www.bfi.org.uk/lists/10-great-films-about-aliens-visiting-earth</t>
  </si>
  <si>
    <t>The Thing from Another World</t>
  </si>
  <si>
    <t>https://www.bfi.org.uk/lists/10-great-american-sci-fi-films-1950s</t>
  </si>
  <si>
    <t>Glen or Glenda</t>
  </si>
  <si>
    <t>Outsider Cinema / Ed Wood / Docudrama Oddity</t>
  </si>
  <si>
    <t>Cult Canon / Psychotronic / Regional Oddity</t>
  </si>
  <si>
    <t>https://en.wikipedia.org/wiki/Glen_or_Glenda</t>
  </si>
  <si>
    <t>Pre-1960 Foundation / Alien Invasion / Childhood Paranoia / Sci-Fi</t>
  </si>
  <si>
    <t>Robot Monster</t>
  </si>
  <si>
    <t>Outsider Cinema / Sci-Fi / Creature B-Movie</t>
  </si>
  <si>
    <t>So-Bad-It's-Good / Cult Canon / Creature Feature</t>
  </si>
  <si>
    <t>https://en.wikipedia.org/wiki/Robot_Monster</t>
  </si>
  <si>
    <t>Godzilla</t>
  </si>
  <si>
    <t>Kaiju / Nuclear Sci-Fi / Japanese Monster</t>
  </si>
  <si>
    <t>Bride of the Monster</t>
  </si>
  <si>
    <t>Outsider Cinema / Ed Wood / Mad Science Horror</t>
  </si>
  <si>
    <t>https://en.wikipedia.org/wiki/Bride_of_the_Monster</t>
  </si>
  <si>
    <t>Dementia</t>
  </si>
  <si>
    <t>Psychological Horror / Dream Logic / Noir / Experimental</t>
  </si>
  <si>
    <t>Genre Foundation / Cult Oddity / Banned / Controversial</t>
  </si>
  <si>
    <t>https://www.bfi.org.uk/features/dementia-john-parker</t>
  </si>
  <si>
    <t>The Night of the Hunter</t>
  </si>
  <si>
    <t>Pre-1960 Foundation / Southern Gothic / Noir / Dark Fairytale</t>
  </si>
  <si>
    <t>Cult Canon / Genre Foundation / Rediscovered Cult / Visual Cult</t>
  </si>
  <si>
    <t>https://www.bfi.org.uk/film/313424b8-8d3b-5180-86ef-2887a36a393a/the-night-of-the-hunter</t>
  </si>
  <si>
    <t>Pre-1960 Foundation / Space Sci-Fi / Electronic Score / Retro-Futurism</t>
  </si>
  <si>
    <t>Genre Foundation / Genre Essential / Creature Feature</t>
  </si>
  <si>
    <t>Pre-1960 Foundation / Paranoia Sci-Fi / Body Replacement</t>
  </si>
  <si>
    <t>Folk Horror / Gothic Horror / Occult Horror</t>
  </si>
  <si>
    <t>https://www.bfi.org.uk/film/abc38b75-66e9-5904-8882-39fc49f0428a/night-of-the-demon</t>
  </si>
  <si>
    <t>Sweet Smell of Success</t>
  </si>
  <si>
    <t>Pre-1960 Foundation / Urban Noir / Media Corruption</t>
  </si>
  <si>
    <t>The Incredible Shrinking Man</t>
  </si>
  <si>
    <t>Pre-1960 Foundation / Sci-Fi / Miniature Survival / Existential</t>
  </si>
  <si>
    <t>https://www.bfi.org.uk/film/ca430383-aa27-55b3-9b00-f75bea8ea062/the-incredible-shrinking-man</t>
  </si>
  <si>
    <t>Pre-1960 Foundation / Teen Creature Feature / Drive-In</t>
  </si>
  <si>
    <t>Drive-In Classic / Genre Foundation / Genre Essential / Creature Feature</t>
  </si>
  <si>
    <t>https://www.bfi.org.uk/lists/10-great-blob-movies</t>
  </si>
  <si>
    <t>https://www.bfi.org.uk/features/where-begin-body-horror</t>
  </si>
  <si>
    <t>Touch of Evil</t>
  </si>
  <si>
    <t>Pre-1960 Foundation / Film Noir / Border Crime / Expressionist</t>
  </si>
  <si>
    <t>Genre Foundation / Visual Cult</t>
  </si>
  <si>
    <t>Pre-1960 Foundation / Haunted House / William Castle / Gimmick Cult</t>
  </si>
  <si>
    <t>https://www.bfi.org.uk/lists/10-great-haunted-house-films</t>
  </si>
  <si>
    <t>Plan 9 from Outer Space</t>
  </si>
  <si>
    <t>Pre-1960 Foundation / Z-Movie / Camp</t>
  </si>
  <si>
    <t>So-Bad-It's-Good / Camp Classic / Genre Foundation</t>
  </si>
  <si>
    <t>https://www.bfi.org.uk/features/ed-wood-plan-9-outer-space</t>
  </si>
  <si>
    <t>https://www.bfi.org.uk/features/william-castle-cinema-gimmicks</t>
  </si>
  <si>
    <t>CURATION GUIDE — Cult &amp; Forgotten Cinema Master</t>
  </si>
  <si>
    <t>Doel: breed bewaren en beter organiseren — niet 'beste films ooit'. Slechte, bizarre en obscure films mogen juist blijven als hun cult-/preservationwaarde duidelijk is.</t>
  </si>
  <si>
    <t>Betekenis</t>
  </si>
  <si>
    <t>Gebruik</t>
  </si>
  <si>
    <t>Master status</t>
  </si>
  <si>
    <t>Aantal</t>
  </si>
  <si>
    <t>Opmerking</t>
  </si>
  <si>
    <t>Belangrijk voor de collectie</t>
  </si>
  <si>
    <t>Cultcanon, sterke preservation pick, genre-essential of uitzonderlijke oddity</t>
  </si>
  <si>
    <t>Totaal films</t>
  </si>
  <si>
    <t>Geen films verwijderd in deze curator-pass</t>
  </si>
  <si>
    <t>Sterk interessant</t>
  </si>
  <si>
    <t>Deep cut, secundaire genre-entry, completion of interessante curiositeit</t>
  </si>
  <si>
    <t>Collectie-prioriteit, niet kwaliteitsrating</t>
  </si>
  <si>
    <t>Context / anchor</t>
  </si>
  <si>
    <t>Grote mainstream/canonfilm die een stroming, stijl of genre helpt plaatsen</t>
  </si>
  <si>
    <t>Sterke kandidaten / deep cuts</t>
  </si>
  <si>
    <t>Context / anchors</t>
  </si>
  <si>
    <t>Genre review nodig</t>
  </si>
  <si>
    <t>Bestaande masterdata was te generiek; titel blijft behouden</t>
  </si>
  <si>
    <t>Curator Tag</t>
  </si>
  <si>
    <t>Search index</t>
  </si>
  <si>
    <t>Zoekt titel, jaar, genre, tags en source</t>
  </si>
  <si>
    <t>Defining cult title or established cult landmark.</t>
  </si>
  <si>
    <t>Mainstream/major title kept as context for a movement or genre.</t>
  </si>
  <si>
    <t>Strong video-store / home-video identity.</t>
  </si>
  <si>
    <t>Rare VHS</t>
  </si>
  <si>
    <t>Scarcity or hard-to-find VHS history explicitly supported by existing notes.</t>
  </si>
  <si>
    <t>Direct-to-video title with cult/preservation value.</t>
  </si>
  <si>
    <t>Shot-on-video title with cult/preservation value.</t>
  </si>
  <si>
    <t>Strong grindhouse/exploitation circuit identity.</t>
  </si>
  <si>
    <t>Drive-In Classic</t>
  </si>
  <si>
    <t>Drive-in era staple or explicitly drive-in associated.</t>
  </si>
  <si>
    <t>Midnight-movie / repertory cult identity.</t>
  </si>
  <si>
    <t>Commercially notorious failure with lasting cult relevance.</t>
  </si>
  <si>
    <t>Entertaining bad-movie reputation is part of the appeal.</t>
  </si>
  <si>
    <t>Camp value is central to the film's cult identity.</t>
  </si>
  <si>
    <t>Psychotronic / outsider genre-film appeal.</t>
  </si>
  <si>
    <t>Regional, microbudget or geographically specific oddity.</t>
  </si>
  <si>
    <t>Memorable, bizarre or unusually singular film.</t>
  </si>
  <si>
    <t>Historically foundational or proto-example of a genre/movement.</t>
  </si>
  <si>
    <t>Core representative of its genre or cult movement.</t>
  </si>
  <si>
    <t>Interesting secondary/deep-cut preservation title.</t>
  </si>
  <si>
    <t>Overlooked or forgotten film worth resurfacing.</t>
  </si>
  <si>
    <t>Later reassessed/reclaimed cult title.</t>
  </si>
  <si>
    <t>Censorship, banning, scandal or controversy is part of its history.</t>
  </si>
  <si>
    <t>Alternate Cut History</t>
  </si>
  <si>
    <t>Important alternate/edit/release-cut history.</t>
  </si>
  <si>
    <t>Practical, creature, stop-motion or physical effects are a major draw.</t>
  </si>
  <si>
    <t>Creature/monster appeal is central.</t>
  </si>
  <si>
    <t>Music or soundtrack is a major part of cult identity.</t>
  </si>
  <si>
    <t>Distinctive visual design/style is a major draw.</t>
  </si>
  <si>
    <t>Strong snapshot of a period, scene or subculture.</t>
  </si>
  <si>
    <t>Kept in master, but genre data is still too generic.</t>
  </si>
  <si>
    <t>HORROR TAXONOMY — v23</t>
  </si>
  <si>
    <t>'Horror' alleen is voortaan geen eindgenre. Waar de bestaande masterdata het ondersteunt, wordt horror uitgesplitst naar concrete subgenres. Onzekere gevallen blijven behouden als Horror — Subgenre Review.</t>
  </si>
  <si>
    <t>Subgenre</t>
  </si>
  <si>
    <t>Voorbeeld / bedoeling</t>
  </si>
  <si>
    <t>Aantal*</t>
  </si>
  <si>
    <t>Slasher / Proto-Slasher</t>
  </si>
  <si>
    <t>Masked/serial-killer slashers en voorlopers daarvan</t>
  </si>
  <si>
    <t>Lichaamstransformatie, infectie, Cronenberg-achtige lichamelijkheid</t>
  </si>
  <si>
    <t>Supernatural / Occult</t>
  </si>
  <si>
    <t>Geesten, bovennatuurlijke dreiging, occultisme, satanisme</t>
  </si>
  <si>
    <t>Hammer, kastelen, period gothic, klassieke monsters</t>
  </si>
  <si>
    <t>Mentale ontwrichting, ambiguïteit, paranoia</t>
  </si>
  <si>
    <t>Living dead / outbreak / zombie cinema</t>
  </si>
  <si>
    <t>Vampierfilms, gothic of modern</t>
  </si>
  <si>
    <t>Ritueel, landschap, rurale folklore en occultisme</t>
  </si>
  <si>
    <t>Italiaanse murder-mystery/stylised horror-thrillers</t>
  </si>
  <si>
    <t>Sciencefiction die primair via horror werkt</t>
  </si>
  <si>
    <t>Found Footage</t>
  </si>
  <si>
    <t>Pseudo-recovered footage / faux-documentary horror</t>
  </si>
  <si>
    <t>Horror waarin comedy structureel onderdeel is</t>
  </si>
  <si>
    <t>Anthology</t>
  </si>
  <si>
    <t>Portmanteau / episodische horror</t>
  </si>
  <si>
    <t>Exploitation-horror zonder betrouwbaarder subgenre in huidige data</t>
  </si>
  <si>
    <t>Subgenre Review</t>
  </si>
  <si>
    <t>Nog te generiek in brondata; behouden, later handmatig verfijnen</t>
  </si>
  <si>
    <t>HIGH-CONCEPT FAMILY / VIDEO STORE CULT — v27</t>
  </si>
  <si>
    <t>VHS-era family/action/fantasy films built around a loud high-concept hook, recognizable star vehicle, creature/gadget gimmick or studio-B-movie premise. Cult value is based on memorability and video-store identity, not critical quality.</t>
  </si>
  <si>
    <t>Core trait</t>
  </si>
  <si>
    <t>Curator use</t>
  </si>
  <si>
    <t>Star Vehicle</t>
  </si>
  <si>
    <t>Suburban Commando / Mr. Nanny / Kazaam</t>
  </si>
  <si>
    <t>Star Vehicle / Camp Classic</t>
  </si>
  <si>
    <t>High-Concept Hook</t>
  </si>
  <si>
    <t>Stay Tuned / Blank Check / House Arrest</t>
  </si>
  <si>
    <t>High-Concept / Video Store Cult</t>
  </si>
  <si>
    <t>Creature / Sci-Fi</t>
  </si>
  <si>
    <t>Spaced Invaders / Harry and the Hendersons</t>
  </si>
  <si>
    <t>Creature Feature / Video Store Cult</t>
  </si>
  <si>
    <t>Kids Action</t>
  </si>
  <si>
    <t>3 Ninjas / Surf Ninjas / Sidekicks</t>
  </si>
  <si>
    <t>Forgotten Gem / Video Store Cult</t>
  </si>
  <si>
    <t>PSYCHOLOGICAL / SUBJECTIVE HORROR — v28</t>
  </si>
  <si>
    <t>Horror en horror-adjacent cinema waarin de werkelijkheid door een ontwrichte, onbetrouwbare of onder druk staande psyche wordt ervaren. Kernmotieven: hallucinatie, identiteitsverlies, paranoia, droomlogica, claustrofobische ruimtes en ambiguïteit tussen innerlijke en externe dreiging.</t>
  </si>
  <si>
    <t>Subgenre / lens</t>
  </si>
  <si>
    <t>Wat onderscheidt het</t>
  </si>
  <si>
    <t>Subjective Horror</t>
  </si>
  <si>
    <t>Repulsion / Images / Symptoms</t>
  </si>
  <si>
    <t>We beleven de dreiging door een mogelijk onbetrouwbare waarneming</t>
  </si>
  <si>
    <t>Apartment Horror</t>
  </si>
  <si>
    <t>Repulsion / The Tenant / Rosemary's Baby</t>
  </si>
  <si>
    <t>Woonruimte wordt claustrofobisch en psychologisch vijandig</t>
  </si>
  <si>
    <t>Identity Horror</t>
  </si>
  <si>
    <t>Persona / Perfect Blue / Lost Highway</t>
  </si>
  <si>
    <t>Zelfbeeld, dubbelgangers en identiteit vallen uit elkaar</t>
  </si>
  <si>
    <t>Hallucinatory Horror</t>
  </si>
  <si>
    <t>Hour of the Wolf / Jacob's Ladder</t>
  </si>
  <si>
    <t>Visioenen en werkelijkheid zijn niet meer betrouwbaar te scheiden</t>
  </si>
  <si>
    <t>Psychological Surrealism</t>
  </si>
  <si>
    <t>3 Women / Persona / The Cremator</t>
  </si>
  <si>
    <t>Droomlogica en symboliek nemen narratieve zekerheid over</t>
  </si>
  <si>
    <t>Gaslighting Horror</t>
  </si>
  <si>
    <t>The Entity / Rosemary's Baby</t>
  </si>
  <si>
    <t>De ervaring van het personage wordt systematisch betwijfeld of ontkend</t>
  </si>
  <si>
    <t>Urban Dread</t>
  </si>
  <si>
    <t>Cure / The Tenant / Repulsion</t>
  </si>
  <si>
    <t>De stad en alledaagse ruimtes worden vervreemdend en bedreigend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</si>
</sst>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6"/>
      <color rgb="FFFFFFFF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374151"/>
      <name val="Carlito"/>
    </font>
    <font>
      <sz val="11"/>
      <color rgb="FF111827"/>
      <name val="Carlito"/>
    </font>
    <font>
      <sz val="11"/>
      <color rgb="FF111827"/>
      <name val="Carlito"/>
    </font>
    <font>
      <sz val="11"/>
      <color rgb="FF111827"/>
      <name val="Carlito"/>
    </font>
    <font>
      <sz val="11"/>
      <color rgb="FF111827"/>
      <name val="Carlito"/>
    </font>
    <font>
      <sz val="11"/>
      <color rgb="FF111827"/>
      <name val="Carlito"/>
    </font>
    <font>
      <sz val="11"/>
      <name val="Carlito"/>
    </font>
  </fonts>
  <fills count="7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374151"/>
      </patternFill>
    </fill>
    <fill>
      <patternFill patternType="solid">
        <fgColor rgb="FFD1D5DB"/>
      </patternFill>
    </fill>
    <fill>
      <patternFill patternType="solid">
        <fgColor rgb="FFE2E8F0"/>
      </patternFill>
    </fill>
    <fill>
      <patternFill patternType="solid">
        <fgColor rgb="FFE2E8F0"/>
      </patternFill>
    </fill>
    <fill>
      <patternFill patternType="solid">
        <fgColor rgb="FFE2E8F0"/>
      </patternFill>
    </fill>
    <fill>
      <patternFill patternType="solid">
        <fgColor rgb="FFE2E8F0"/>
      </patternFill>
    </fill>
    <fill>
      <patternFill patternType="solid">
        <fgColor rgb="FFE2E8F0"/>
      </patternFill>
    </fill>
    <fill>
      <patternFill patternType="solid">
        <fgColor rgb="FFE2E8F0"/>
      </patternFill>
    </fill>
    <fill>
      <patternFill patternType="solid">
        <fgColor rgb="FFE2E8F0"/>
      </patternFill>
    </fill>
    <fill>
      <patternFill patternType="solid">
        <fgColor rgb="FFE2E8F0"/>
      </patternFill>
    </fill>
    <fill>
      <patternFill patternType="solid">
        <fgColor rgb="FFE2E8F0"/>
      </patternFill>
    </fill>
    <fill>
      <patternFill patternType="solid">
        <fgColor rgb="FFE2E8F0"/>
      </patternFill>
    </fill>
    <fill>
      <patternFill patternType="solid">
        <fgColor rgb="FFE2E8F0"/>
      </patternFill>
    </fill>
    <fill>
      <patternFill patternType="solid">
        <fgColor rgb="FFE2E8F0"/>
      </patternFill>
    </fill>
    <fill>
      <patternFill patternType="solid">
        <fgColor rgb="FFE2E8F0"/>
      </patternFill>
    </fill>
    <fill>
      <patternFill patternType="solid">
        <fgColor rgb="FFE5E7EB"/>
      </patternFill>
    </fill>
    <fill>
      <patternFill patternType="solid">
        <fgColor rgb="FFE2E8F0"/>
      </patternFill>
    </fill>
    <fill>
      <patternFill patternType="solid">
        <fgColor rgb="FFE2E8F0"/>
      </patternFill>
    </fill>
    <fill>
      <patternFill patternType="solid">
        <fgColor rgb="FFE2E8F0"/>
      </patternFill>
    </fill>
    <fill>
      <patternFill patternType="solid">
        <fgColor rgb="FFE2E8F0"/>
      </patternFill>
    </fill>
    <fill>
      <patternFill patternType="solid">
        <fgColor rgb="FFE2E8F0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ECACA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E5E7EB"/>
      </patternFill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E2E8F0"/>
      </patternFill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374151"/>
      </patternFill>
    </fill>
    <fill>
      <patternFill patternType="solid">
        <fgColor rgb="FFE2E8F0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DE68A"/>
      </patternFill>
    </fill>
    <fill>
      <patternFill patternType="solid">
        <fgColor rgb="FFFECACA"/>
      </patternFill>
    </fill>
    <fill>
      <patternFill patternType="solid">
        <fgColor rgb="FFD1FAE5"/>
      </patternFill>
    </fill>
    <fill>
      <patternFill patternType="solid">
        <fgColor rgb="FFE5E7EB"/>
      </patternFill>
    </fill>
    <fill>
      <patternFill patternType="solid">
        <fgColor rgb="FFE2E8F0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ECACA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E5E7EB"/>
      </patternFill>
    </fill>
    <fill>
      <patternFill patternType="solid">
        <fgColor rgb="FFE2E8F0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DE68A"/>
      </patternFill>
    </fill>
    <fill>
      <patternFill patternType="solid">
        <fgColor rgb="FFFECACA"/>
      </patternFill>
    </fill>
    <fill>
      <patternFill patternType="solid">
        <fgColor rgb="FFD1FAE5"/>
      </patternFill>
    </fill>
    <fill>
      <patternFill patternType="solid">
        <fgColor rgb="FFE5E7EB"/>
      </patternFill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E2E8F0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ECACA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E5E7EB"/>
      </patternFill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">
    <xf numFmtId="0" fontId="0" fillId="0" borderId="0"/>
    <xf numFmtId="0" fontId="11" fillId="0" borderId="0"/>
  </cellStyleXfs>
  <cellXfs count="106">
    <xf numFmtId="0" fontId="0" fillId="0" borderId="0" xfId="0"/>
    <xf numFmtId="0" fontId="3" fillId="4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4" fillId="5" borderId="0" xfId="1" applyFont="1" applyFill="1" applyAlignment="1">
      <alignment wrapText="1"/>
    </xf>
    <xf numFmtId="0" fontId="4" fillId="6" borderId="0" xfId="1" applyFont="1" applyFill="1"/>
    <xf numFmtId="0" fontId="4" fillId="7" borderId="0" xfId="1" applyFont="1" applyFill="1"/>
    <xf numFmtId="0" fontId="4" fillId="8" borderId="0" xfId="1" applyFont="1" applyFill="1" applyAlignment="1">
      <alignment wrapText="1"/>
    </xf>
    <xf numFmtId="0" fontId="4" fillId="9" borderId="0" xfId="1" applyFont="1" applyFill="1" applyAlignment="1">
      <alignment wrapText="1"/>
    </xf>
    <xf numFmtId="0" fontId="4" fillId="10" borderId="0" xfId="1" applyFont="1" applyFill="1" applyAlignment="1">
      <alignment wrapText="1"/>
    </xf>
    <xf numFmtId="0" fontId="4" fillId="11" borderId="0" xfId="1" applyFont="1" applyFill="1" applyAlignment="1">
      <alignment wrapText="1"/>
    </xf>
    <xf numFmtId="0" fontId="4" fillId="12" borderId="0" xfId="1" applyFont="1" applyFill="1" applyAlignment="1">
      <alignment wrapText="1"/>
    </xf>
    <xf numFmtId="0" fontId="4" fillId="13" borderId="0" xfId="1" applyFont="1" applyFill="1" applyAlignment="1">
      <alignment wrapText="1"/>
    </xf>
    <xf numFmtId="0" fontId="4" fillId="14" borderId="0" xfId="1" applyFont="1" applyFill="1" applyAlignment="1">
      <alignment wrapText="1"/>
    </xf>
    <xf numFmtId="0" fontId="4" fillId="15" borderId="0" xfId="1" applyFont="1" applyFill="1" applyAlignment="1">
      <alignment wrapText="1"/>
    </xf>
    <xf numFmtId="0" fontId="4" fillId="16" borderId="0" xfId="1" applyFont="1" applyFill="1" applyAlignment="1">
      <alignment wrapText="1"/>
    </xf>
    <xf numFmtId="0" fontId="4" fillId="17" borderId="0" xfId="1" applyFont="1" applyFill="1" applyAlignment="1">
      <alignment wrapText="1"/>
    </xf>
    <xf numFmtId="0" fontId="4" fillId="18" borderId="0" xfId="1" applyFont="1" applyFill="1" applyAlignment="1">
      <alignment wrapText="1"/>
    </xf>
    <xf numFmtId="0" fontId="4" fillId="19" borderId="0" xfId="1" applyFont="1" applyFill="1" applyAlignment="1">
      <alignment horizontal="right"/>
    </xf>
    <xf numFmtId="0" fontId="4" fillId="19" borderId="0" xfId="1" applyFont="1" applyFill="1" applyAlignment="1">
      <alignment horizontal="center"/>
    </xf>
    <xf numFmtId="0" fontId="4" fillId="20" borderId="0" xfId="1" applyFont="1" applyFill="1" applyAlignment="1">
      <alignment wrapText="1"/>
    </xf>
    <xf numFmtId="0" fontId="4" fillId="21" borderId="0" xfId="1" applyFont="1" applyFill="1" applyAlignment="1">
      <alignment wrapText="1"/>
    </xf>
    <xf numFmtId="0" fontId="4" fillId="22" borderId="0" xfId="1" applyFont="1" applyFill="1" applyAlignment="1">
      <alignment wrapText="1"/>
    </xf>
    <xf numFmtId="0" fontId="4" fillId="23" borderId="0" xfId="1" applyFont="1" applyFill="1" applyAlignment="1">
      <alignment wrapText="1"/>
    </xf>
    <xf numFmtId="0" fontId="4" fillId="24" borderId="0" xfId="1" applyFont="1" applyFill="1" applyAlignment="1">
      <alignment wrapText="1"/>
    </xf>
    <xf numFmtId="0" fontId="0" fillId="0" borderId="0" xfId="1" applyFont="1" applyAlignment="1">
      <alignment vertical="center" wrapText="1"/>
    </xf>
    <xf numFmtId="0" fontId="3" fillId="25" borderId="0" xfId="1" applyFont="1" applyFill="1" applyAlignment="1">
      <alignment horizontal="center" vertical="center"/>
    </xf>
    <xf numFmtId="0" fontId="6" fillId="26" borderId="0" xfId="1" applyFont="1" applyFill="1" applyAlignment="1">
      <alignment vertical="center" wrapText="1"/>
    </xf>
    <xf numFmtId="0" fontId="6" fillId="26" borderId="0" xfId="1" applyFont="1" applyFill="1" applyAlignment="1">
      <alignment horizontal="center" vertical="center" wrapText="1"/>
    </xf>
    <xf numFmtId="0" fontId="6" fillId="27" borderId="0" xfId="1" applyFont="1" applyFill="1" applyAlignment="1">
      <alignment horizontal="center" vertical="center" wrapText="1"/>
    </xf>
    <xf numFmtId="0" fontId="6" fillId="28" borderId="0" xfId="1" applyFont="1" applyFill="1" applyAlignment="1">
      <alignment horizontal="center" vertical="center" wrapText="1"/>
    </xf>
    <xf numFmtId="0" fontId="6" fillId="29" borderId="0" xfId="1" applyFont="1" applyFill="1" applyAlignment="1">
      <alignment horizontal="center" vertical="center" wrapText="1"/>
    </xf>
    <xf numFmtId="0" fontId="4" fillId="30" borderId="1" xfId="1" applyFont="1" applyFill="1" applyBorder="1" applyAlignment="1">
      <alignment horizontal="right" vertical="center"/>
    </xf>
    <xf numFmtId="0" fontId="4" fillId="30" borderId="2" xfId="1" applyFont="1" applyFill="1" applyBorder="1" applyAlignment="1">
      <alignment horizontal="center" vertical="center"/>
    </xf>
    <xf numFmtId="0" fontId="4" fillId="30" borderId="0" xfId="1" applyFont="1" applyFill="1" applyAlignment="1">
      <alignment horizontal="right"/>
    </xf>
    <xf numFmtId="0" fontId="4" fillId="30" borderId="0" xfId="1" applyFont="1" applyFill="1" applyAlignment="1">
      <alignment horizontal="center"/>
    </xf>
    <xf numFmtId="0" fontId="0" fillId="27" borderId="0" xfId="1" applyFont="1" applyFill="1" applyAlignment="1">
      <alignment wrapText="1"/>
    </xf>
    <xf numFmtId="0" fontId="0" fillId="29" borderId="0" xfId="1" applyFont="1" applyFill="1" applyAlignment="1">
      <alignment wrapText="1"/>
    </xf>
    <xf numFmtId="0" fontId="0" fillId="28" borderId="0" xfId="1" applyFont="1" applyFill="1" applyAlignment="1">
      <alignment wrapText="1"/>
    </xf>
    <xf numFmtId="0" fontId="3" fillId="31" borderId="0" xfId="1" applyFont="1" applyFill="1" applyAlignment="1">
      <alignment horizontal="center" vertical="center"/>
    </xf>
    <xf numFmtId="0" fontId="4" fillId="33" borderId="0" xfId="1" applyFont="1" applyFill="1" applyAlignment="1">
      <alignment wrapText="1"/>
    </xf>
    <xf numFmtId="0" fontId="3" fillId="36" borderId="0" xfId="1" applyFont="1" applyFill="1" applyAlignment="1">
      <alignment horizontal="center"/>
    </xf>
    <xf numFmtId="0" fontId="0" fillId="0" borderId="0" xfId="1" applyFont="1" applyAlignment="1">
      <alignment horizontal="center" vertical="center" wrapText="1"/>
    </xf>
    <xf numFmtId="0" fontId="4" fillId="37" borderId="0" xfId="1" applyFont="1" applyFill="1" applyAlignment="1">
      <alignment wrapText="1"/>
    </xf>
    <xf numFmtId="0" fontId="3" fillId="38" borderId="0" xfId="1" applyFont="1" applyFill="1" applyAlignment="1">
      <alignment horizontal="center" vertical="center"/>
    </xf>
    <xf numFmtId="0" fontId="7" fillId="39" borderId="0" xfId="1" applyFont="1" applyFill="1" applyAlignment="1">
      <alignment vertical="center" wrapText="1"/>
    </xf>
    <xf numFmtId="0" fontId="7" fillId="39" borderId="0" xfId="1" applyFont="1" applyFill="1" applyAlignment="1">
      <alignment horizontal="center" vertical="center" wrapText="1"/>
    </xf>
    <xf numFmtId="0" fontId="7" fillId="40" borderId="0" xfId="1" applyFont="1" applyFill="1" applyAlignment="1">
      <alignment horizontal="center" vertical="center" wrapText="1"/>
    </xf>
    <xf numFmtId="0" fontId="7" fillId="41" borderId="0" xfId="1" applyFont="1" applyFill="1" applyAlignment="1">
      <alignment horizontal="center" vertical="center" wrapText="1"/>
    </xf>
    <xf numFmtId="0" fontId="7" fillId="42" borderId="0" xfId="1" applyFont="1" applyFill="1" applyAlignment="1">
      <alignment horizontal="center" vertical="center" wrapText="1"/>
    </xf>
    <xf numFmtId="0" fontId="4" fillId="43" borderId="1" xfId="1" applyFont="1" applyFill="1" applyBorder="1" applyAlignment="1">
      <alignment horizontal="right" vertical="center"/>
    </xf>
    <xf numFmtId="0" fontId="4" fillId="43" borderId="2" xfId="1" applyFont="1" applyFill="1" applyBorder="1" applyAlignment="1">
      <alignment horizontal="center" vertical="center"/>
    </xf>
    <xf numFmtId="0" fontId="7" fillId="39" borderId="1" xfId="1" applyFont="1" applyFill="1" applyBorder="1" applyAlignment="1">
      <alignment vertical="center" wrapText="1"/>
    </xf>
    <xf numFmtId="0" fontId="7" fillId="39" borderId="2" xfId="1" applyFont="1" applyFill="1" applyBorder="1" applyAlignment="1">
      <alignment horizontal="center" vertical="center" wrapText="1"/>
    </xf>
    <xf numFmtId="0" fontId="4" fillId="43" borderId="0" xfId="1" applyFont="1" applyFill="1" applyAlignment="1">
      <alignment horizontal="right"/>
    </xf>
    <xf numFmtId="0" fontId="4" fillId="43" borderId="0" xfId="1" applyFont="1" applyFill="1" applyAlignment="1">
      <alignment horizontal="center"/>
    </xf>
    <xf numFmtId="0" fontId="7" fillId="39" borderId="0" xfId="1" applyFont="1" applyFill="1" applyAlignment="1">
      <alignment horizontal="right" vertical="center" wrapText="1"/>
    </xf>
    <xf numFmtId="0" fontId="4" fillId="44" borderId="0" xfId="1" applyFont="1" applyFill="1" applyAlignment="1">
      <alignment wrapText="1"/>
    </xf>
    <xf numFmtId="0" fontId="3" fillId="45" borderId="0" xfId="1" applyFont="1" applyFill="1" applyAlignment="1">
      <alignment horizontal="center" vertical="center"/>
    </xf>
    <xf numFmtId="0" fontId="8" fillId="46" borderId="0" xfId="1" applyFont="1" applyFill="1" applyAlignment="1">
      <alignment vertical="center" wrapText="1"/>
    </xf>
    <xf numFmtId="0" fontId="8" fillId="46" borderId="0" xfId="1" applyFont="1" applyFill="1" applyAlignment="1">
      <alignment horizontal="center" vertical="center" wrapText="1"/>
    </xf>
    <xf numFmtId="0" fontId="8" fillId="47" borderId="0" xfId="1" applyFont="1" applyFill="1" applyAlignment="1">
      <alignment horizontal="center" vertical="center" wrapText="1"/>
    </xf>
    <xf numFmtId="0" fontId="8" fillId="48" borderId="0" xfId="1" applyFont="1" applyFill="1" applyAlignment="1">
      <alignment horizontal="center" vertical="center" wrapText="1"/>
    </xf>
    <xf numFmtId="0" fontId="8" fillId="49" borderId="0" xfId="1" applyFont="1" applyFill="1" applyAlignment="1">
      <alignment horizontal="center" vertical="center" wrapText="1"/>
    </xf>
    <xf numFmtId="0" fontId="4" fillId="50" borderId="0" xfId="1" applyFont="1" applyFill="1"/>
    <xf numFmtId="0" fontId="8" fillId="46" borderId="1" xfId="1" applyFont="1" applyFill="1" applyBorder="1" applyAlignment="1">
      <alignment vertical="center" wrapText="1"/>
    </xf>
    <xf numFmtId="0" fontId="8" fillId="46" borderId="2" xfId="1" applyFont="1" applyFill="1" applyBorder="1" applyAlignment="1">
      <alignment horizontal="center" vertical="center" wrapText="1"/>
    </xf>
    <xf numFmtId="0" fontId="8" fillId="46" borderId="1" xfId="1" applyFont="1" applyFill="1" applyBorder="1" applyAlignment="1">
      <alignment horizontal="right" vertical="center" wrapText="1"/>
    </xf>
    <xf numFmtId="0" fontId="8" fillId="46" borderId="0" xfId="1" applyFont="1" applyFill="1" applyAlignment="1">
      <alignment horizontal="right" vertical="center" wrapText="1"/>
    </xf>
    <xf numFmtId="0" fontId="4" fillId="51" borderId="0" xfId="1" applyFont="1" applyFill="1" applyAlignment="1">
      <alignment wrapText="1"/>
    </xf>
    <xf numFmtId="0" fontId="3" fillId="52" borderId="0" xfId="1" applyFont="1" applyFill="1" applyAlignment="1">
      <alignment horizontal="center" vertical="center"/>
    </xf>
    <xf numFmtId="0" fontId="9" fillId="53" borderId="0" xfId="1" applyFont="1" applyFill="1" applyAlignment="1">
      <alignment vertical="center" wrapText="1"/>
    </xf>
    <xf numFmtId="0" fontId="9" fillId="53" borderId="0" xfId="1" applyFont="1" applyFill="1" applyAlignment="1">
      <alignment horizontal="center" vertical="center" wrapText="1"/>
    </xf>
    <xf numFmtId="0" fontId="9" fillId="53" borderId="1" xfId="1" applyFont="1" applyFill="1" applyBorder="1" applyAlignment="1">
      <alignment vertical="center" wrapText="1"/>
    </xf>
    <xf numFmtId="0" fontId="9" fillId="53" borderId="2" xfId="1" applyFont="1" applyFill="1" applyBorder="1" applyAlignment="1">
      <alignment horizontal="center" vertical="center" wrapText="1"/>
    </xf>
    <xf numFmtId="0" fontId="9" fillId="53" borderId="0" xfId="1" applyFont="1" applyFill="1" applyAlignment="1">
      <alignment horizontal="right" vertical="center" wrapText="1"/>
    </xf>
    <xf numFmtId="0" fontId="9" fillId="54" borderId="0" xfId="1" applyFont="1" applyFill="1" applyAlignment="1">
      <alignment horizontal="center" vertical="center" wrapText="1"/>
    </xf>
    <xf numFmtId="0" fontId="9" fillId="55" borderId="0" xfId="1" applyFont="1" applyFill="1" applyAlignment="1">
      <alignment horizontal="center" vertical="center" wrapText="1"/>
    </xf>
    <xf numFmtId="0" fontId="9" fillId="56" borderId="0" xfId="1" applyFont="1" applyFill="1" applyAlignment="1">
      <alignment horizontal="center" vertical="center" wrapText="1"/>
    </xf>
    <xf numFmtId="0" fontId="4" fillId="57" borderId="0" xfId="1" applyFont="1" applyFill="1" applyAlignment="1">
      <alignment horizontal="right"/>
    </xf>
    <xf numFmtId="0" fontId="4" fillId="57" borderId="0" xfId="1" applyFont="1" applyFill="1" applyAlignment="1">
      <alignment horizontal="center"/>
    </xf>
    <xf numFmtId="0" fontId="4" fillId="60" borderId="0" xfId="1" applyFont="1" applyFill="1" applyAlignment="1">
      <alignment wrapText="1"/>
    </xf>
    <xf numFmtId="0" fontId="3" fillId="61" borderId="0" xfId="1" applyFont="1" applyFill="1" applyAlignment="1">
      <alignment horizontal="center" vertical="center"/>
    </xf>
    <xf numFmtId="0" fontId="10" fillId="62" borderId="0" xfId="1" applyFont="1" applyFill="1" applyAlignment="1">
      <alignment vertical="center" wrapText="1"/>
    </xf>
    <xf numFmtId="0" fontId="10" fillId="62" borderId="0" xfId="1" applyFont="1" applyFill="1" applyAlignment="1">
      <alignment horizontal="center" vertical="center" wrapText="1"/>
    </xf>
    <xf numFmtId="0" fontId="10" fillId="63" borderId="0" xfId="1" applyFont="1" applyFill="1" applyAlignment="1">
      <alignment horizontal="center" vertical="center" wrapText="1"/>
    </xf>
    <xf numFmtId="0" fontId="10" fillId="64" borderId="0" xfId="1" applyFont="1" applyFill="1" applyAlignment="1">
      <alignment horizontal="center" vertical="center" wrapText="1"/>
    </xf>
    <xf numFmtId="0" fontId="10" fillId="65" borderId="0" xfId="1" applyFont="1" applyFill="1" applyAlignment="1">
      <alignment horizontal="center" vertical="center" wrapText="1"/>
    </xf>
    <xf numFmtId="0" fontId="4" fillId="66" borderId="0" xfId="1" applyFont="1" applyFill="1"/>
    <xf numFmtId="0" fontId="4" fillId="66" borderId="0" xfId="1" applyFont="1" applyFill="1" applyAlignment="1">
      <alignment horizontal="right"/>
    </xf>
    <xf numFmtId="0" fontId="4" fillId="66" borderId="0" xfId="1" applyFont="1" applyFill="1" applyAlignment="1">
      <alignment horizontal="center"/>
    </xf>
    <xf numFmtId="0" fontId="10" fillId="62" borderId="1" xfId="1" applyFont="1" applyFill="1" applyBorder="1" applyAlignment="1">
      <alignment vertical="center" wrapText="1"/>
    </xf>
    <xf numFmtId="0" fontId="10" fillId="62" borderId="2" xfId="1" applyFont="1" applyFill="1" applyBorder="1" applyAlignment="1">
      <alignment horizontal="center" vertical="center" wrapText="1"/>
    </xf>
    <xf numFmtId="0" fontId="10" fillId="62" borderId="1" xfId="1" applyFont="1" applyFill="1" applyBorder="1" applyAlignment="1">
      <alignment horizontal="right" vertical="center" wrapText="1"/>
    </xf>
    <xf numFmtId="0" fontId="10" fillId="62" borderId="0" xfId="1" applyFont="1" applyFill="1" applyAlignment="1">
      <alignment horizontal="right" vertical="center" wrapText="1"/>
    </xf>
    <xf numFmtId="0" fontId="4" fillId="69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/>
    </xf>
    <xf numFmtId="0" fontId="1" fillId="31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/>
    </xf>
    <xf numFmtId="0" fontId="3" fillId="31" borderId="0" xfId="1" applyFont="1" applyFill="1" applyAlignment="1">
      <alignment horizontal="left" vertical="center"/>
    </xf>
    <xf numFmtId="0" fontId="5" fillId="32" borderId="0" xfId="1" applyFont="1" applyFill="1" applyAlignment="1">
      <alignment wrapText="1"/>
    </xf>
    <xf numFmtId="0" fontId="5" fillId="59" borderId="0" xfId="1" applyFont="1" applyFill="1" applyAlignment="1">
      <alignment wrapText="1"/>
    </xf>
    <xf numFmtId="0" fontId="3" fillId="67" borderId="0" xfId="1" applyFont="1" applyFill="1" applyAlignment="1">
      <alignment horizontal="left" vertical="center"/>
    </xf>
    <xf numFmtId="0" fontId="5" fillId="68" borderId="0" xfId="1" applyFont="1" applyFill="1" applyAlignment="1">
      <alignment wrapText="1"/>
    </xf>
    <xf numFmtId="0" fontId="3" fillId="34" borderId="0" xfId="1" applyFont="1" applyFill="1" applyAlignment="1">
      <alignment horizontal="left" vertical="center"/>
    </xf>
    <xf numFmtId="0" fontId="5" fillId="35" borderId="0" xfId="1" applyFont="1" applyFill="1" applyAlignment="1">
      <alignment wrapText="1"/>
    </xf>
    <xf numFmtId="0" fontId="3" fillId="58" borderId="0" xfId="1" applyFont="1" applyFill="1" applyAlignment="1">
      <alignment horizontal="left" vertical="center"/>
    </xf>
  </cellXfs>
  <cellStyles count="2">
    <cellStyle name="Normal" xfId="1" xr:uid="{00000000-0005-0000-0000-000000000000}"/>
    <cellStyle name="Standaard" xfId="0" builtinId="0"/>
  </cellStyles>
  <dxfs count="179">
    <dxf>
      <font>
        <b/>
      </font>
      <fill>
        <patternFill patternType="solid">
          <bgColor rgb="FFDCFCE7"/>
        </patternFill>
      </fill>
    </dxf>
    <dxf>
      <font>
        <b/>
      </font>
      <fill>
        <patternFill>
          <bgColor rgb="FFDCFCE7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c:style val="2"/>
  <c:chart>
    <c:title>
      <c:tx>
        <c:rich>
          <a:bodyPr/>
          <a:lstStyle/>
          <a:p>
            <a:r>
              <a:rPr lang="nl-NL"/>
              <a:t>Preservation leads per year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numRef>
              <c:f>Overview!$A$5:$A$44</c:f>
              <c:numCache>
                <c:formatCode>General</c:formatCode>
                <c:ptCount val="40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</c:numCache>
            </c:numRef>
          </c:cat>
          <c:val>
            <c:numRef>
              <c:f>Overview!$B$5:$B$44</c:f>
              <c:numCache>
                <c:formatCode>General</c:formatCode>
                <c:ptCount val="40"/>
                <c:pt idx="0">
                  <c:v>11</c:v>
                </c:pt>
                <c:pt idx="1">
                  <c:v>8</c:v>
                </c:pt>
                <c:pt idx="2">
                  <c:v>9</c:v>
                </c:pt>
                <c:pt idx="3">
                  <c:v>11</c:v>
                </c:pt>
                <c:pt idx="4">
                  <c:v>16</c:v>
                </c:pt>
                <c:pt idx="5">
                  <c:v>13</c:v>
                </c:pt>
                <c:pt idx="6">
                  <c:v>18</c:v>
                </c:pt>
                <c:pt idx="7">
                  <c:v>16</c:v>
                </c:pt>
                <c:pt idx="8">
                  <c:v>23</c:v>
                </c:pt>
                <c:pt idx="9">
                  <c:v>14</c:v>
                </c:pt>
                <c:pt idx="10">
                  <c:v>64</c:v>
                </c:pt>
                <c:pt idx="11">
                  <c:v>74</c:v>
                </c:pt>
                <c:pt idx="12">
                  <c:v>72</c:v>
                </c:pt>
                <c:pt idx="13">
                  <c:v>77</c:v>
                </c:pt>
                <c:pt idx="14">
                  <c:v>66</c:v>
                </c:pt>
                <c:pt idx="15">
                  <c:v>53</c:v>
                </c:pt>
                <c:pt idx="16">
                  <c:v>63</c:v>
                </c:pt>
                <c:pt idx="17">
                  <c:v>55</c:v>
                </c:pt>
                <c:pt idx="18">
                  <c:v>68</c:v>
                </c:pt>
                <c:pt idx="19">
                  <c:v>54</c:v>
                </c:pt>
                <c:pt idx="20">
                  <c:v>63</c:v>
                </c:pt>
                <c:pt idx="21">
                  <c:v>90</c:v>
                </c:pt>
                <c:pt idx="22">
                  <c:v>84</c:v>
                </c:pt>
                <c:pt idx="23">
                  <c:v>74</c:v>
                </c:pt>
                <c:pt idx="24">
                  <c:v>69</c:v>
                </c:pt>
                <c:pt idx="25">
                  <c:v>98</c:v>
                </c:pt>
                <c:pt idx="26">
                  <c:v>84</c:v>
                </c:pt>
                <c:pt idx="27">
                  <c:v>89</c:v>
                </c:pt>
                <c:pt idx="28">
                  <c:v>57</c:v>
                </c:pt>
                <c:pt idx="29">
                  <c:v>48</c:v>
                </c:pt>
                <c:pt idx="30">
                  <c:v>50</c:v>
                </c:pt>
                <c:pt idx="31">
                  <c:v>46</c:v>
                </c:pt>
                <c:pt idx="32">
                  <c:v>48</c:v>
                </c:pt>
                <c:pt idx="33">
                  <c:v>45</c:v>
                </c:pt>
                <c:pt idx="34">
                  <c:v>59</c:v>
                </c:pt>
                <c:pt idx="35">
                  <c:v>65</c:v>
                </c:pt>
                <c:pt idx="36">
                  <c:v>54</c:v>
                </c:pt>
                <c:pt idx="37">
                  <c:v>46</c:v>
                </c:pt>
                <c:pt idx="38">
                  <c:v>35</c:v>
                </c:pt>
                <c:pt idx="39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E0-43A4-ABAF-37D16E4AF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4"/>
  <sheetViews>
    <sheetView workbookViewId="0">
      <selection sqref="A1:F1"/>
    </sheetView>
  </sheetViews>
  <sheetFormatPr defaultRowHeight="14.25"/>
  <cols>
    <col min="1" max="5" width="12" customWidth="1"/>
    <col min="6" max="7" width="18" customWidth="1"/>
    <col min="8" max="11" width="26" customWidth="1"/>
  </cols>
  <sheetData>
    <row r="1" spans="1:11" ht="24" customHeight="1">
      <c r="A1" s="95" t="s">
        <v>0</v>
      </c>
      <c r="B1" s="95"/>
      <c r="C1" s="95"/>
      <c r="D1" s="95"/>
      <c r="E1" s="95"/>
      <c r="F1" s="96" t="str">
        <f>HYPERLINK("#'SEARCH'!A1","🔍 SEARCH")</f>
        <v>🔍 SEARCH</v>
      </c>
      <c r="G1" s="38" t="str">
        <f>HYPERLINK("#'GUIDE'!A1","📚 GUIDE")</f>
        <v>📚 GUIDE</v>
      </c>
    </row>
    <row r="2" spans="1:11" ht="15">
      <c r="A2" s="97" t="s">
        <v>1</v>
      </c>
      <c r="B2" s="97"/>
      <c r="C2" s="97"/>
      <c r="D2" s="97"/>
      <c r="E2" s="97"/>
      <c r="F2" s="97"/>
      <c r="H2" s="4" t="s">
        <v>2</v>
      </c>
      <c r="I2" s="4"/>
    </row>
    <row r="3" spans="1:11">
      <c r="H3" t="s">
        <v>3</v>
      </c>
      <c r="I3" t="s">
        <v>4</v>
      </c>
    </row>
    <row r="4" spans="1:11" ht="1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H4" t="s">
        <v>11</v>
      </c>
      <c r="I4" t="s">
        <v>12</v>
      </c>
    </row>
    <row r="5" spans="1:11">
      <c r="A5" s="2">
        <v>1960</v>
      </c>
      <c r="B5" s="2">
        <f>COUNTA('1960'!A2:A500)</f>
        <v>11</v>
      </c>
      <c r="C5" s="2">
        <f>COUNTIF('1960'!B2:B500,"A")</f>
        <v>4</v>
      </c>
      <c r="D5" s="2">
        <f>COUNTIF('1960'!B2:B500,"B")</f>
        <v>5</v>
      </c>
      <c r="E5" s="2">
        <f>COUNTIF('1960'!B2:B500,"C")</f>
        <v>2</v>
      </c>
      <c r="F5" s="2"/>
      <c r="H5" t="s">
        <v>13</v>
      </c>
      <c r="I5" t="s">
        <v>14</v>
      </c>
    </row>
    <row r="6" spans="1:11">
      <c r="A6" s="2">
        <v>1961</v>
      </c>
      <c r="B6" s="2">
        <f>COUNTA('1961'!A2:A500)</f>
        <v>8</v>
      </c>
      <c r="C6" s="2">
        <f>COUNTIF('1961'!B2:B500,"A")</f>
        <v>4</v>
      </c>
      <c r="D6" s="2">
        <f>COUNTIF('1961'!B2:B500,"B")</f>
        <v>3</v>
      </c>
      <c r="E6" s="2">
        <f>COUNTIF('1961'!B2:B500,"C")</f>
        <v>1</v>
      </c>
      <c r="F6" s="2"/>
      <c r="H6" t="s">
        <v>15</v>
      </c>
      <c r="I6" t="s">
        <v>16</v>
      </c>
    </row>
    <row r="7" spans="1:11">
      <c r="A7" s="2">
        <v>1962</v>
      </c>
      <c r="B7" s="2">
        <f>COUNTA('1962'!A2:A500)</f>
        <v>9</v>
      </c>
      <c r="C7" s="2">
        <f>COUNTIF('1962'!B2:B500,"A")</f>
        <v>5</v>
      </c>
      <c r="D7" s="2">
        <f>COUNTIF('1962'!B2:B500,"B")</f>
        <v>3</v>
      </c>
      <c r="E7" s="2">
        <f>COUNTIF('1962'!B2:B500,"C")</f>
        <v>1</v>
      </c>
      <c r="F7" s="2"/>
    </row>
    <row r="8" spans="1:11" ht="15">
      <c r="A8" s="2">
        <v>1963</v>
      </c>
      <c r="B8" s="2">
        <f>COUNTA('1963'!A2:A500)</f>
        <v>11</v>
      </c>
      <c r="C8" s="2">
        <f>COUNTIF('1963'!B2:B500,"A")</f>
        <v>7</v>
      </c>
      <c r="D8" s="2">
        <f>COUNTIF('1963'!B2:B500,"B")</f>
        <v>3</v>
      </c>
      <c r="E8" s="2">
        <f>COUNTIF('1963'!B2:B500,"C")</f>
        <v>1</v>
      </c>
      <c r="F8" s="2"/>
      <c r="H8" s="5" t="s">
        <v>17</v>
      </c>
      <c r="I8" s="5"/>
    </row>
    <row r="9" spans="1:11">
      <c r="A9" s="2">
        <v>1964</v>
      </c>
      <c r="B9" s="2">
        <f>COUNTA('1964'!A2:A500)</f>
        <v>16</v>
      </c>
      <c r="C9" s="2">
        <f>COUNTIF('1964'!B2:B500,"A")</f>
        <v>13</v>
      </c>
      <c r="D9" s="2">
        <f>COUNTIF('1964'!B2:B500,"B")</f>
        <v>2</v>
      </c>
      <c r="E9" s="2">
        <f>COUNTIF('1964'!B2:B500,"C")</f>
        <v>1</v>
      </c>
      <c r="F9" s="2"/>
      <c r="H9" t="s">
        <v>18</v>
      </c>
      <c r="I9" t="s">
        <v>19</v>
      </c>
    </row>
    <row r="10" spans="1:11">
      <c r="A10" s="2">
        <v>1965</v>
      </c>
      <c r="B10" s="2">
        <f>COUNTA('1965'!A2:A500)</f>
        <v>13</v>
      </c>
      <c r="C10" s="2">
        <f>COUNTIF('1965'!B2:B500,"A")</f>
        <v>10</v>
      </c>
      <c r="D10" s="2">
        <f>COUNTIF('1965'!B2:B500,"B")</f>
        <v>3</v>
      </c>
      <c r="E10" s="2">
        <f>COUNTIF('1965'!B2:B500,"C")</f>
        <v>0</v>
      </c>
      <c r="F10" s="2"/>
      <c r="H10" t="s">
        <v>20</v>
      </c>
      <c r="I10">
        <v>60</v>
      </c>
    </row>
    <row r="11" spans="1:11">
      <c r="A11" s="2">
        <v>1966</v>
      </c>
      <c r="B11" s="2">
        <f>COUNTA('1966'!A2:A500)</f>
        <v>18</v>
      </c>
      <c r="C11" s="2">
        <f>COUNTIF('1966'!B2:B500,"A")</f>
        <v>13</v>
      </c>
      <c r="D11" s="2">
        <f>COUNTIF('1966'!B2:B500,"B")</f>
        <v>3</v>
      </c>
      <c r="E11" s="2">
        <f>COUNTIF('1966'!B2:B500,"C")</f>
        <v>2</v>
      </c>
      <c r="F11" s="2"/>
      <c r="H11" t="s">
        <v>21</v>
      </c>
      <c r="I11">
        <v>10</v>
      </c>
    </row>
    <row r="12" spans="1:11">
      <c r="A12" s="2">
        <v>1967</v>
      </c>
      <c r="B12" s="2">
        <f>COUNTA('1967'!A2:A500)</f>
        <v>16</v>
      </c>
      <c r="C12" s="2">
        <f>COUNTIF('1967'!B2:B500,"A")</f>
        <v>13</v>
      </c>
      <c r="D12" s="2">
        <f>COUNTIF('1967'!B2:B500,"B")</f>
        <v>3</v>
      </c>
      <c r="E12" s="2">
        <f>COUNTIF('1967'!B2:B500,"C")</f>
        <v>0</v>
      </c>
      <c r="F12" s="2"/>
      <c r="H12" t="s">
        <v>22</v>
      </c>
      <c r="I12" t="s">
        <v>23</v>
      </c>
    </row>
    <row r="13" spans="1:11">
      <c r="A13" s="2">
        <v>1968</v>
      </c>
      <c r="B13" s="2">
        <f>COUNTA('1968'!A2:A500)</f>
        <v>23</v>
      </c>
      <c r="C13" s="2">
        <f>COUNTIF('1968'!B2:B500,"A")</f>
        <v>19</v>
      </c>
      <c r="D13" s="2">
        <f>COUNTIF('1968'!B2:B500,"B")</f>
        <v>2</v>
      </c>
      <c r="E13" s="2">
        <f>COUNTIF('1968'!B2:B500,"C")</f>
        <v>2</v>
      </c>
      <c r="F13" s="2"/>
      <c r="H13" t="s">
        <v>24</v>
      </c>
      <c r="I13" t="s">
        <v>25</v>
      </c>
    </row>
    <row r="14" spans="1:11">
      <c r="A14" s="2">
        <v>1969</v>
      </c>
      <c r="B14" s="2">
        <f>COUNTA('1969'!A2:A500)</f>
        <v>14</v>
      </c>
      <c r="C14" s="2">
        <f>COUNTIF('1969'!B2:B500,"A")</f>
        <v>9</v>
      </c>
      <c r="D14" s="2">
        <f>COUNTIF('1969'!B2:B500,"B")</f>
        <v>5</v>
      </c>
      <c r="E14" s="2">
        <f>COUNTIF('1969'!B2:B500,"C")</f>
        <v>0</v>
      </c>
      <c r="F14" s="2"/>
    </row>
    <row r="15" spans="1:11" ht="15">
      <c r="A15" s="2">
        <v>1970</v>
      </c>
      <c r="B15" s="2">
        <f>COUNTA('1970'!A2:A500)</f>
        <v>64</v>
      </c>
      <c r="C15" s="2">
        <f>COUNTIF('1970'!B2:B500,"A")</f>
        <v>17</v>
      </c>
      <c r="D15" s="2">
        <f>COUNTIF('1970'!B2:B500,"B")</f>
        <v>46</v>
      </c>
      <c r="E15" s="2">
        <f>COUNTIF('1970'!B2:B500,"C")</f>
        <v>1</v>
      </c>
      <c r="F15" s="2"/>
      <c r="H15" s="6" t="s">
        <v>26</v>
      </c>
      <c r="I15" s="6"/>
      <c r="J15" s="6"/>
      <c r="K15" s="6"/>
    </row>
    <row r="16" spans="1:11" ht="15">
      <c r="A16" s="2">
        <v>1971</v>
      </c>
      <c r="B16" s="2">
        <f>COUNTA('1971'!A2:A500)</f>
        <v>74</v>
      </c>
      <c r="C16" s="2">
        <f>COUNTIF('1971'!B2:B500,"A")</f>
        <v>16</v>
      </c>
      <c r="D16" s="2">
        <f>COUNTIF('1971'!B2:B500,"B")</f>
        <v>53</v>
      </c>
      <c r="E16" s="2">
        <f>COUNTIF('1971'!B2:B500,"C")</f>
        <v>5</v>
      </c>
      <c r="F16" s="2"/>
      <c r="H16" s="6" t="s">
        <v>27</v>
      </c>
      <c r="I16" s="6" t="s">
        <v>28</v>
      </c>
      <c r="J16" s="6" t="s">
        <v>29</v>
      </c>
      <c r="K16" s="6" t="s">
        <v>30</v>
      </c>
    </row>
    <row r="17" spans="1:11">
      <c r="A17" s="2">
        <v>1972</v>
      </c>
      <c r="B17" s="2">
        <f>COUNTA('1972'!A2:A500)</f>
        <v>72</v>
      </c>
      <c r="C17" s="2">
        <f>COUNTIF('1972'!B2:B500,"A")</f>
        <v>28</v>
      </c>
      <c r="D17" s="2">
        <f>COUNTIF('1972'!B2:B500,"B")</f>
        <v>41</v>
      </c>
      <c r="E17" s="2">
        <f>COUNTIF('1972'!B2:B500,"C")</f>
        <v>3</v>
      </c>
      <c r="F17" s="2"/>
      <c r="H17" s="2" t="s">
        <v>31</v>
      </c>
      <c r="I17" s="2" t="s">
        <v>32</v>
      </c>
      <c r="J17" s="2" t="s">
        <v>33</v>
      </c>
      <c r="K17" s="2" t="s">
        <v>34</v>
      </c>
    </row>
    <row r="18" spans="1:11">
      <c r="A18" s="2">
        <v>1973</v>
      </c>
      <c r="B18" s="2">
        <f>COUNTA('1973'!A2:A500)</f>
        <v>77</v>
      </c>
      <c r="C18" s="2">
        <f>COUNTIF('1973'!B2:B500,"A")</f>
        <v>23</v>
      </c>
      <c r="D18" s="2">
        <f>COUNTIF('1973'!B2:B500,"B")</f>
        <v>52</v>
      </c>
      <c r="E18" s="2">
        <f>COUNTIF('1973'!B2:B500,"C")</f>
        <v>2</v>
      </c>
      <c r="F18" s="2"/>
      <c r="H18" s="2"/>
      <c r="I18" s="2" t="s">
        <v>35</v>
      </c>
      <c r="J18" s="2" t="s">
        <v>36</v>
      </c>
      <c r="K18" s="2" t="s">
        <v>37</v>
      </c>
    </row>
    <row r="19" spans="1:11">
      <c r="A19" s="2">
        <v>1974</v>
      </c>
      <c r="B19" s="2">
        <f>COUNTA('1974'!A2:A500)</f>
        <v>66</v>
      </c>
      <c r="C19" s="2">
        <f>COUNTIF('1974'!B2:B500,"A")</f>
        <v>27</v>
      </c>
      <c r="D19" s="2">
        <f>COUNTIF('1974'!B2:B500,"B")</f>
        <v>37</v>
      </c>
      <c r="E19" s="2">
        <f>COUNTIF('1974'!B2:B500,"C")</f>
        <v>2</v>
      </c>
      <c r="F19" s="2"/>
      <c r="H19" s="2"/>
      <c r="I19" s="2" t="s">
        <v>38</v>
      </c>
      <c r="J19" s="2" t="s">
        <v>39</v>
      </c>
      <c r="K19" s="2" t="s">
        <v>40</v>
      </c>
    </row>
    <row r="20" spans="1:11">
      <c r="A20" s="2">
        <v>1975</v>
      </c>
      <c r="B20" s="2">
        <f>COUNTA('1975'!A2:A500)</f>
        <v>53</v>
      </c>
      <c r="C20" s="2">
        <f>COUNTIF('1975'!B2:B500,"A")</f>
        <v>27</v>
      </c>
      <c r="D20" s="2">
        <f>COUNTIF('1975'!B2:B500,"B")</f>
        <v>25</v>
      </c>
      <c r="E20" s="2">
        <f>COUNTIF('1975'!B2:B500,"C")</f>
        <v>1</v>
      </c>
      <c r="F20" s="2"/>
      <c r="H20" s="2"/>
      <c r="I20" s="2" t="s">
        <v>41</v>
      </c>
      <c r="J20" s="2" t="s">
        <v>42</v>
      </c>
      <c r="K20" s="2" t="s">
        <v>43</v>
      </c>
    </row>
    <row r="21" spans="1:11">
      <c r="A21" s="2">
        <v>1976</v>
      </c>
      <c r="B21" s="2">
        <f>COUNTA('1976'!A2:A500)</f>
        <v>63</v>
      </c>
      <c r="C21" s="2">
        <f>COUNTIF('1976'!B2:B500,"A")</f>
        <v>24</v>
      </c>
      <c r="D21" s="2">
        <f>COUNTIF('1976'!B2:B500,"B")</f>
        <v>37</v>
      </c>
      <c r="E21" s="2">
        <f>COUNTIF('1976'!B2:B500,"C")</f>
        <v>2</v>
      </c>
      <c r="F21" s="2"/>
      <c r="H21" s="2"/>
      <c r="I21" s="2" t="s">
        <v>44</v>
      </c>
      <c r="J21" s="2" t="s">
        <v>45</v>
      </c>
      <c r="K21" s="2" t="s">
        <v>46</v>
      </c>
    </row>
    <row r="22" spans="1:11">
      <c r="A22" s="2">
        <v>1977</v>
      </c>
      <c r="B22" s="2">
        <f>COUNTA('1977'!A2:A500)</f>
        <v>55</v>
      </c>
      <c r="C22" s="2">
        <f>COUNTIF('1977'!B2:B500,"A")</f>
        <v>24</v>
      </c>
      <c r="D22" s="2">
        <f>COUNTIF('1977'!B2:B500,"B")</f>
        <v>31</v>
      </c>
      <c r="E22" s="2">
        <f>COUNTIF('1977'!B2:B500,"C")</f>
        <v>0</v>
      </c>
      <c r="F22" s="2"/>
      <c r="H22" s="2"/>
      <c r="I22" s="2"/>
      <c r="J22" s="2"/>
      <c r="K22" s="2"/>
    </row>
    <row r="23" spans="1:11">
      <c r="A23" s="2">
        <v>1978</v>
      </c>
      <c r="B23" s="2">
        <f>COUNTA('1978'!A2:A500)</f>
        <v>68</v>
      </c>
      <c r="C23" s="2">
        <f>COUNTIF('1978'!B2:B500,"A")</f>
        <v>31</v>
      </c>
      <c r="D23" s="2">
        <f>COUNTIF('1978'!B2:B500,"B")</f>
        <v>35</v>
      </c>
      <c r="E23" s="2">
        <f>COUNTIF('1978'!B2:B500,"C")</f>
        <v>2</v>
      </c>
      <c r="F23" s="2"/>
      <c r="H23" s="2" t="s">
        <v>47</v>
      </c>
      <c r="I23" s="2">
        <v>169</v>
      </c>
      <c r="J23" s="2" t="s">
        <v>48</v>
      </c>
      <c r="K23" s="2">
        <v>36</v>
      </c>
    </row>
    <row r="24" spans="1:11">
      <c r="A24" s="2">
        <v>1979</v>
      </c>
      <c r="B24" s="2">
        <f>COUNTA('1979'!A2:A500)</f>
        <v>54</v>
      </c>
      <c r="C24" s="2">
        <f>COUNTIF('1979'!B2:B500,"A")</f>
        <v>24</v>
      </c>
      <c r="D24" s="2">
        <f>COUNTIF('1979'!B2:B500,"B")</f>
        <v>26</v>
      </c>
      <c r="E24" s="2">
        <f>COUNTIF('1979'!B2:B500,"C")</f>
        <v>4</v>
      </c>
      <c r="F24" s="2"/>
      <c r="H24" s="2" t="s">
        <v>49</v>
      </c>
      <c r="I24" s="2" t="s">
        <v>50</v>
      </c>
      <c r="J24" s="2"/>
      <c r="K24" s="2"/>
    </row>
    <row r="25" spans="1:11">
      <c r="A25" s="2">
        <v>1980</v>
      </c>
      <c r="B25" s="2">
        <f>COUNTA('1980'!A2:A500)</f>
        <v>63</v>
      </c>
      <c r="C25" s="2">
        <f>COUNTIF('1980'!B2:B500,"A")</f>
        <v>40</v>
      </c>
      <c r="D25" s="2">
        <f>COUNTIF('1980'!B2:B500,"B")</f>
        <v>23</v>
      </c>
      <c r="E25" s="2">
        <f>COUNTIF('1980'!B2:B500,"C")</f>
        <v>0</v>
      </c>
      <c r="F25" s="2"/>
      <c r="H25" s="2" t="s">
        <v>49</v>
      </c>
      <c r="I25" s="2" t="s">
        <v>51</v>
      </c>
      <c r="J25" s="2"/>
      <c r="K25" s="2"/>
    </row>
    <row r="26" spans="1:11">
      <c r="A26" s="2">
        <v>1981</v>
      </c>
      <c r="B26" s="2">
        <f>COUNTA('1981'!A2:A500)</f>
        <v>90</v>
      </c>
      <c r="C26" s="2">
        <f>COUNTIF('1981'!B2:B500,"A")</f>
        <v>36</v>
      </c>
      <c r="D26" s="2">
        <f>COUNTIF('1981'!B2:B500,"B")</f>
        <v>54</v>
      </c>
      <c r="E26" s="2">
        <f>COUNTIF('1981'!B2:B500,"C")</f>
        <v>0</v>
      </c>
      <c r="F26" s="2"/>
      <c r="H26" s="2"/>
      <c r="I26" s="2"/>
      <c r="J26" s="2"/>
      <c r="K26" s="2"/>
    </row>
    <row r="27" spans="1:11">
      <c r="A27" s="2">
        <v>1982</v>
      </c>
      <c r="B27" s="2">
        <f>COUNTA('1982'!A2:A500)</f>
        <v>84</v>
      </c>
      <c r="C27" s="2">
        <f>COUNTIF('1982'!B2:B500,"A")</f>
        <v>44</v>
      </c>
      <c r="D27" s="2">
        <f>COUNTIF('1982'!B2:B500,"B")</f>
        <v>35</v>
      </c>
      <c r="E27" s="2">
        <f>COUNTIF('1982'!B2:B500,"C")</f>
        <v>5</v>
      </c>
      <c r="F27" s="2"/>
      <c r="H27" s="2" t="s">
        <v>52</v>
      </c>
      <c r="I27" s="2" t="s">
        <v>53</v>
      </c>
      <c r="J27" s="2" t="s">
        <v>54</v>
      </c>
      <c r="K27" s="2" t="s">
        <v>55</v>
      </c>
    </row>
    <row r="28" spans="1:11">
      <c r="A28" s="2">
        <v>1983</v>
      </c>
      <c r="B28" s="2">
        <f>COUNTA('1983'!A2:A500)</f>
        <v>74</v>
      </c>
      <c r="C28" s="2">
        <f>COUNTIF('1983'!B2:B500,"A")</f>
        <v>47</v>
      </c>
      <c r="D28" s="2">
        <f>COUNTIF('1983'!B2:B500,"B")</f>
        <v>26</v>
      </c>
      <c r="E28" s="2">
        <f>COUNTIF('1983'!B2:B500,"C")</f>
        <v>1</v>
      </c>
      <c r="F28" s="2"/>
      <c r="H28" s="2"/>
      <c r="I28" s="2" t="s">
        <v>56</v>
      </c>
      <c r="J28" s="2" t="s">
        <v>57</v>
      </c>
      <c r="K28" s="2" t="s">
        <v>58</v>
      </c>
    </row>
    <row r="29" spans="1:11">
      <c r="A29" s="2">
        <v>1984</v>
      </c>
      <c r="B29" s="2">
        <f>COUNTA('1984'!A2:A500)</f>
        <v>69</v>
      </c>
      <c r="C29" s="2">
        <f>COUNTIF('1984'!B2:B500,"A")</f>
        <v>40</v>
      </c>
      <c r="D29" s="2">
        <f>COUNTIF('1984'!B2:B500,"B")</f>
        <v>28</v>
      </c>
      <c r="E29" s="2">
        <f>COUNTIF('1984'!B2:B500,"C")</f>
        <v>1</v>
      </c>
      <c r="F29" s="2"/>
      <c r="H29" s="2"/>
      <c r="I29" s="2" t="s">
        <v>59</v>
      </c>
      <c r="J29" s="2" t="s">
        <v>60</v>
      </c>
      <c r="K29" s="2" t="s">
        <v>61</v>
      </c>
    </row>
    <row r="30" spans="1:11">
      <c r="A30" s="2">
        <v>1985</v>
      </c>
      <c r="B30" s="2">
        <f>COUNTA('1985'!A2:A500)</f>
        <v>98</v>
      </c>
      <c r="C30" s="2">
        <f>COUNTIF('1985'!B2:B500,"A")</f>
        <v>56</v>
      </c>
      <c r="D30" s="2">
        <f>COUNTIF('1985'!B2:B500,"B")</f>
        <v>40</v>
      </c>
      <c r="E30" s="2">
        <f>COUNTIF('1985'!B2:B500,"C")</f>
        <v>2</v>
      </c>
      <c r="F30" s="2"/>
    </row>
    <row r="31" spans="1:11" ht="15">
      <c r="A31" s="2">
        <v>1986</v>
      </c>
      <c r="B31" s="2">
        <f>COUNTA('1986'!A2:A500)</f>
        <v>84</v>
      </c>
      <c r="C31" s="2">
        <f>COUNTIF('1986'!B2:B500,"A")</f>
        <v>50</v>
      </c>
      <c r="D31" s="2">
        <f>COUNTIF('1986'!B2:B500,"B")</f>
        <v>32</v>
      </c>
      <c r="E31" s="2">
        <f>COUNTIF('1986'!B2:B500,"C")</f>
        <v>2</v>
      </c>
      <c r="F31" s="2"/>
      <c r="H31" s="7" t="s">
        <v>62</v>
      </c>
      <c r="I31" s="7"/>
      <c r="J31" s="7"/>
      <c r="K31" s="7"/>
    </row>
    <row r="32" spans="1:11" ht="30">
      <c r="A32" s="2">
        <v>1987</v>
      </c>
      <c r="B32" s="2">
        <f>COUNTA('1987'!A2:A500)</f>
        <v>89</v>
      </c>
      <c r="C32" s="2">
        <f>COUNTIF('1987'!B2:B500,"A")</f>
        <v>48</v>
      </c>
      <c r="D32" s="2">
        <f>COUNTIF('1987'!B2:B500,"B")</f>
        <v>36</v>
      </c>
      <c r="E32" s="2">
        <f>COUNTIF('1987'!B2:B500,"C")</f>
        <v>5</v>
      </c>
      <c r="F32" s="2"/>
      <c r="H32" s="7" t="s">
        <v>18</v>
      </c>
      <c r="I32" s="7" t="s">
        <v>63</v>
      </c>
      <c r="J32" s="7" t="s">
        <v>64</v>
      </c>
      <c r="K32" s="7" t="s">
        <v>65</v>
      </c>
    </row>
    <row r="33" spans="1:11">
      <c r="A33" s="2">
        <v>1988</v>
      </c>
      <c r="B33" s="2">
        <f>COUNTA('1988'!A2:A500)</f>
        <v>57</v>
      </c>
      <c r="C33" s="2">
        <f>COUNTIF('1988'!B2:B500,"A")</f>
        <v>47</v>
      </c>
      <c r="D33" s="2">
        <f>COUNTIF('1988'!B2:B500,"B")</f>
        <v>7</v>
      </c>
      <c r="E33" s="2">
        <f>COUNTIF('1988'!B2:B500,"C")</f>
        <v>3</v>
      </c>
      <c r="F33" s="2"/>
      <c r="H33" s="2" t="s">
        <v>47</v>
      </c>
      <c r="I33" s="2">
        <v>61</v>
      </c>
      <c r="J33" s="2" t="s">
        <v>66</v>
      </c>
      <c r="K33" s="2">
        <v>14</v>
      </c>
    </row>
    <row r="34" spans="1:11">
      <c r="A34" s="2">
        <v>1989</v>
      </c>
      <c r="B34" s="2">
        <f>COUNTA('1989'!A2:A500)</f>
        <v>48</v>
      </c>
      <c r="C34" s="2">
        <f>COUNTIF('1989'!B2:B500,"A")</f>
        <v>40</v>
      </c>
      <c r="D34" s="2">
        <f>COUNTIF('1989'!B2:B500,"B")</f>
        <v>5</v>
      </c>
      <c r="E34" s="2">
        <f>COUNTIF('1989'!B2:B500,"C")</f>
        <v>3</v>
      </c>
      <c r="F34" s="2"/>
      <c r="H34" s="2" t="s">
        <v>67</v>
      </c>
      <c r="I34" s="2" t="s">
        <v>68</v>
      </c>
      <c r="J34" s="2" t="s">
        <v>69</v>
      </c>
      <c r="K34" s="2" t="s">
        <v>70</v>
      </c>
    </row>
    <row r="35" spans="1:11">
      <c r="A35" s="2">
        <v>1990</v>
      </c>
      <c r="B35" s="2">
        <f>COUNTA('1990'!A2:A500)</f>
        <v>50</v>
      </c>
      <c r="C35" s="2">
        <f>COUNTIF('1990'!B2:B500,"A")</f>
        <v>42</v>
      </c>
      <c r="D35" s="2">
        <f>COUNTIF('1990'!B2:B500,"B")</f>
        <v>6</v>
      </c>
      <c r="E35" s="2">
        <f>COUNTIF('1990'!B2:B500,"C")</f>
        <v>2</v>
      </c>
      <c r="F35" s="2"/>
      <c r="H35" s="2" t="s">
        <v>71</v>
      </c>
      <c r="I35" s="2" t="s">
        <v>72</v>
      </c>
      <c r="J35" s="2" t="s">
        <v>73</v>
      </c>
      <c r="K35" s="2" t="s">
        <v>74</v>
      </c>
    </row>
    <row r="36" spans="1:11">
      <c r="A36" s="2">
        <v>1991</v>
      </c>
      <c r="B36" s="2">
        <f>COUNTA('1991'!A2:A500)</f>
        <v>46</v>
      </c>
      <c r="C36" s="2">
        <f>COUNTIF('1991'!B2:B500,"A")</f>
        <v>39</v>
      </c>
      <c r="D36" s="2">
        <f>COUNTIF('1991'!B2:B500,"B")</f>
        <v>6</v>
      </c>
      <c r="E36" s="2">
        <f>COUNTIF('1991'!B2:B500,"C")</f>
        <v>1</v>
      </c>
      <c r="F36" s="2"/>
      <c r="H36" s="2" t="s">
        <v>75</v>
      </c>
      <c r="I36" s="2" t="s">
        <v>76</v>
      </c>
      <c r="J36" s="2" t="s">
        <v>77</v>
      </c>
      <c r="K36" s="2" t="s">
        <v>78</v>
      </c>
    </row>
    <row r="37" spans="1:11" ht="28.5">
      <c r="A37" s="2">
        <v>1992</v>
      </c>
      <c r="B37" s="2">
        <f>COUNTA('1992'!A2:A500)</f>
        <v>48</v>
      </c>
      <c r="C37" s="2">
        <f>COUNTIF('1992'!B2:B500,"A")</f>
        <v>46</v>
      </c>
      <c r="D37" s="2">
        <f>COUNTIF('1992'!B2:B500,"B")</f>
        <v>2</v>
      </c>
      <c r="E37" s="2">
        <f>COUNTIF('1992'!B2:B500,"C")</f>
        <v>0</v>
      </c>
      <c r="F37" s="2"/>
      <c r="H37" s="2" t="s">
        <v>79</v>
      </c>
      <c r="I37" s="2" t="s">
        <v>80</v>
      </c>
      <c r="J37" s="2" t="s">
        <v>81</v>
      </c>
      <c r="K37" s="2" t="s">
        <v>82</v>
      </c>
    </row>
    <row r="38" spans="1:11">
      <c r="A38" s="2">
        <v>1993</v>
      </c>
      <c r="B38" s="2">
        <f>COUNTA('1993'!A2:A500)</f>
        <v>45</v>
      </c>
      <c r="C38" s="2">
        <f>COUNTIF('1993'!B2:B500,"A")</f>
        <v>35</v>
      </c>
      <c r="D38" s="2">
        <f>COUNTIF('1993'!B2:B500,"B")</f>
        <v>7</v>
      </c>
      <c r="E38" s="2">
        <f>COUNTIF('1993'!B2:B500,"C")</f>
        <v>3</v>
      </c>
      <c r="F38" s="2"/>
      <c r="H38" s="2"/>
      <c r="I38" s="2" t="s">
        <v>83</v>
      </c>
      <c r="J38" s="2" t="s">
        <v>84</v>
      </c>
      <c r="K38" s="2" t="s">
        <v>85</v>
      </c>
    </row>
    <row r="39" spans="1:11" ht="28.5">
      <c r="A39" s="2">
        <v>1994</v>
      </c>
      <c r="B39" s="2">
        <f>COUNTA('1994'!A2:A500)</f>
        <v>59</v>
      </c>
      <c r="C39" s="2">
        <f>COUNTIF('1994'!B2:B500,"A")</f>
        <v>38</v>
      </c>
      <c r="D39" s="2">
        <f>COUNTIF('1994'!B2:B500,"B")</f>
        <v>19</v>
      </c>
      <c r="E39" s="2">
        <f>COUNTIF('1994'!B2:B500,"C")</f>
        <v>2</v>
      </c>
      <c r="F39" s="2"/>
      <c r="H39" s="2" t="s">
        <v>86</v>
      </c>
      <c r="I39" s="2" t="s">
        <v>87</v>
      </c>
      <c r="J39" s="2"/>
      <c r="K39" s="2"/>
    </row>
    <row r="40" spans="1:11">
      <c r="A40" s="2">
        <v>1995</v>
      </c>
      <c r="B40" s="2">
        <f>COUNTA('1995'!A2:A500)</f>
        <v>65</v>
      </c>
      <c r="C40" s="2">
        <f>COUNTIF('1995'!B2:B500,"A")</f>
        <v>48</v>
      </c>
      <c r="D40" s="2">
        <f>COUNTIF('1995'!B2:B500,"B")</f>
        <v>13</v>
      </c>
      <c r="E40" s="2">
        <f>COUNTIF('1995'!B2:B500,"C")</f>
        <v>4</v>
      </c>
      <c r="F40" s="2"/>
      <c r="H40" s="2" t="s">
        <v>88</v>
      </c>
      <c r="I40" s="2" t="s">
        <v>89</v>
      </c>
      <c r="J40" s="2"/>
      <c r="K40" s="2"/>
    </row>
    <row r="41" spans="1:11">
      <c r="A41" s="2">
        <v>1996</v>
      </c>
      <c r="B41" s="2">
        <f>COUNTA('1996'!A2:A500)</f>
        <v>54</v>
      </c>
      <c r="C41" s="2">
        <f>COUNTIF('1996'!B2:B500,"A")</f>
        <v>43</v>
      </c>
      <c r="D41" s="2">
        <f>COUNTIF('1996'!B2:B500,"B")</f>
        <v>10</v>
      </c>
      <c r="E41" s="2">
        <f>COUNTIF('1996'!B2:B500,"C")</f>
        <v>1</v>
      </c>
      <c r="F41" s="2"/>
      <c r="H41" s="2" t="s">
        <v>90</v>
      </c>
      <c r="I41" s="2" t="s">
        <v>91</v>
      </c>
      <c r="J41" s="2" t="s">
        <v>92</v>
      </c>
      <c r="K41" s="2" t="s">
        <v>93</v>
      </c>
    </row>
    <row r="42" spans="1:11">
      <c r="A42" s="2">
        <v>1997</v>
      </c>
      <c r="B42" s="2">
        <f>COUNTA('1997'!A2:A500)</f>
        <v>46</v>
      </c>
      <c r="C42" s="2">
        <f>COUNTIF('1997'!B2:B500,"A")</f>
        <v>36</v>
      </c>
      <c r="D42" s="2">
        <f>COUNTIF('1997'!B2:B500,"B")</f>
        <v>6</v>
      </c>
      <c r="E42" s="2">
        <f>COUNTIF('1997'!B2:B500,"C")</f>
        <v>4</v>
      </c>
      <c r="F42" s="2"/>
      <c r="H42" s="2"/>
      <c r="I42" s="2"/>
      <c r="J42" s="2"/>
      <c r="K42" s="2"/>
    </row>
    <row r="43" spans="1:11">
      <c r="A43" s="2">
        <v>1998</v>
      </c>
      <c r="B43" s="2">
        <f>COUNTA('1998'!A2:A500)</f>
        <v>35</v>
      </c>
      <c r="C43" s="2">
        <f>COUNTIF('1998'!B2:B500,"A")</f>
        <v>23</v>
      </c>
      <c r="D43" s="2">
        <f>COUNTIF('1998'!B2:B500,"B")</f>
        <v>11</v>
      </c>
      <c r="E43" s="2">
        <f>COUNTIF('1998'!B2:B500,"C")</f>
        <v>1</v>
      </c>
      <c r="F43" s="2"/>
    </row>
    <row r="44" spans="1:11" ht="15">
      <c r="A44" s="2">
        <v>1999</v>
      </c>
      <c r="B44" s="2">
        <f>COUNTA('1999'!A2:A500)</f>
        <v>31</v>
      </c>
      <c r="C44" s="2">
        <f>COUNTIF('1999'!B2:B500,"A")</f>
        <v>24</v>
      </c>
      <c r="D44" s="2">
        <f>COUNTIF('1999'!B2:B500,"B")</f>
        <v>4</v>
      </c>
      <c r="E44" s="2">
        <f>COUNTIF('1999'!B2:B500,"C")</f>
        <v>3</v>
      </c>
      <c r="F44" s="2"/>
      <c r="H44" s="8" t="s">
        <v>94</v>
      </c>
      <c r="I44" s="8"/>
      <c r="J44" s="8"/>
      <c r="K44" s="8"/>
    </row>
    <row r="45" spans="1:11" ht="30">
      <c r="A45" s="3" t="s">
        <v>95</v>
      </c>
      <c r="B45" s="3">
        <f>SUM(B5:B44)</f>
        <v>2020</v>
      </c>
      <c r="C45" s="3">
        <f>SUM(C5:C44)</f>
        <v>1160</v>
      </c>
      <c r="D45" s="3">
        <f>SUM(D5:D44)</f>
        <v>785</v>
      </c>
      <c r="E45" s="3">
        <f>SUM(E5:E44)</f>
        <v>75</v>
      </c>
      <c r="F45" s="3"/>
      <c r="H45" s="8" t="s">
        <v>18</v>
      </c>
      <c r="I45" s="8" t="s">
        <v>96</v>
      </c>
      <c r="J45" s="8" t="s">
        <v>97</v>
      </c>
      <c r="K45" s="8" t="s">
        <v>98</v>
      </c>
    </row>
    <row r="46" spans="1:11">
      <c r="H46" s="2" t="s">
        <v>99</v>
      </c>
      <c r="I46" s="2">
        <v>36</v>
      </c>
      <c r="J46" s="2" t="s">
        <v>100</v>
      </c>
      <c r="K46" s="2">
        <v>10</v>
      </c>
    </row>
    <row r="47" spans="1:11">
      <c r="H47" s="2" t="s">
        <v>101</v>
      </c>
      <c r="I47" s="2" t="s">
        <v>102</v>
      </c>
      <c r="J47" s="2" t="s">
        <v>103</v>
      </c>
      <c r="K47" s="2" t="s">
        <v>104</v>
      </c>
    </row>
    <row r="48" spans="1:11">
      <c r="H48" s="2" t="s">
        <v>105</v>
      </c>
      <c r="I48" s="2" t="s">
        <v>106</v>
      </c>
      <c r="J48" s="2"/>
      <c r="K48" s="2"/>
    </row>
    <row r="49" spans="8:11">
      <c r="H49" s="2" t="s">
        <v>107</v>
      </c>
      <c r="I49" s="2" t="s">
        <v>108</v>
      </c>
      <c r="J49" s="2" t="s">
        <v>109</v>
      </c>
      <c r="K49" s="2" t="s">
        <v>110</v>
      </c>
    </row>
    <row r="50" spans="8:11">
      <c r="H50" s="2"/>
      <c r="I50" s="2" t="s">
        <v>111</v>
      </c>
      <c r="J50" s="2" t="s">
        <v>112</v>
      </c>
      <c r="K50" s="2" t="s">
        <v>113</v>
      </c>
    </row>
    <row r="51" spans="8:11">
      <c r="H51" s="2"/>
      <c r="I51" s="2" t="s">
        <v>114</v>
      </c>
      <c r="J51" s="2" t="s">
        <v>115</v>
      </c>
      <c r="K51" s="2" t="s">
        <v>116</v>
      </c>
    </row>
    <row r="52" spans="8:11">
      <c r="H52" s="2" t="s">
        <v>117</v>
      </c>
      <c r="I52" s="2" t="s">
        <v>118</v>
      </c>
      <c r="J52" s="2" t="s">
        <v>119</v>
      </c>
      <c r="K52" s="2" t="s">
        <v>120</v>
      </c>
    </row>
    <row r="53" spans="8:11">
      <c r="H53" s="2" t="s">
        <v>86</v>
      </c>
      <c r="I53" s="2" t="s">
        <v>121</v>
      </c>
      <c r="J53" s="2"/>
      <c r="K53" s="2"/>
    </row>
    <row r="54" spans="8:11">
      <c r="H54" s="2" t="s">
        <v>88</v>
      </c>
      <c r="I54" s="2" t="s">
        <v>122</v>
      </c>
      <c r="J54" s="2"/>
      <c r="K54" s="2"/>
    </row>
    <row r="55" spans="8:11">
      <c r="H55" s="2"/>
      <c r="I55" s="2"/>
      <c r="J55" s="2"/>
      <c r="K55" s="2"/>
    </row>
    <row r="57" spans="8:11" ht="15">
      <c r="H57" s="9" t="s">
        <v>123</v>
      </c>
      <c r="I57" s="9"/>
      <c r="J57" s="9"/>
      <c r="K57" s="9"/>
    </row>
    <row r="58" spans="8:11" ht="15">
      <c r="H58" s="9" t="s">
        <v>18</v>
      </c>
      <c r="I58" s="9" t="s">
        <v>124</v>
      </c>
      <c r="J58" s="9" t="s">
        <v>125</v>
      </c>
      <c r="K58" s="9" t="s">
        <v>126</v>
      </c>
    </row>
    <row r="59" spans="8:11">
      <c r="H59" s="2" t="s">
        <v>99</v>
      </c>
      <c r="I59" s="2">
        <v>21</v>
      </c>
      <c r="J59" s="2" t="s">
        <v>66</v>
      </c>
      <c r="K59" s="2">
        <v>37</v>
      </c>
    </row>
    <row r="60" spans="8:11">
      <c r="H60" s="2" t="s">
        <v>127</v>
      </c>
      <c r="I60" s="2" t="s">
        <v>128</v>
      </c>
      <c r="J60" s="2" t="s">
        <v>129</v>
      </c>
      <c r="K60" s="2" t="s">
        <v>130</v>
      </c>
    </row>
    <row r="61" spans="8:11">
      <c r="H61" s="2" t="s">
        <v>107</v>
      </c>
      <c r="I61" s="2" t="s">
        <v>131</v>
      </c>
      <c r="J61" s="2" t="s">
        <v>132</v>
      </c>
      <c r="K61" s="2" t="s">
        <v>133</v>
      </c>
    </row>
    <row r="62" spans="8:11">
      <c r="H62" s="2"/>
      <c r="I62" s="2" t="s">
        <v>134</v>
      </c>
      <c r="J62" s="2" t="s">
        <v>135</v>
      </c>
      <c r="K62" s="2" t="s">
        <v>136</v>
      </c>
    </row>
    <row r="63" spans="8:11">
      <c r="H63" s="2"/>
      <c r="I63" s="2" t="s">
        <v>137</v>
      </c>
      <c r="J63" s="2" t="s">
        <v>138</v>
      </c>
      <c r="K63" s="2" t="s">
        <v>139</v>
      </c>
    </row>
    <row r="64" spans="8:11">
      <c r="H64" s="2" t="s">
        <v>140</v>
      </c>
      <c r="I64" s="2" t="s">
        <v>141</v>
      </c>
      <c r="J64" s="2" t="s">
        <v>142</v>
      </c>
      <c r="K64" s="2" t="s">
        <v>143</v>
      </c>
    </row>
    <row r="65" spans="8:11">
      <c r="H65" s="2"/>
      <c r="I65" s="2" t="s">
        <v>126</v>
      </c>
      <c r="J65" s="2" t="s">
        <v>144</v>
      </c>
      <c r="K65" s="2" t="s">
        <v>145</v>
      </c>
    </row>
    <row r="66" spans="8:11">
      <c r="H66" s="2" t="s">
        <v>86</v>
      </c>
      <c r="I66" s="2" t="s">
        <v>146</v>
      </c>
      <c r="J66" s="2"/>
      <c r="K66" s="2"/>
    </row>
    <row r="67" spans="8:11">
      <c r="H67" s="2" t="s">
        <v>88</v>
      </c>
      <c r="I67" s="2" t="s">
        <v>147</v>
      </c>
      <c r="J67" s="2"/>
      <c r="K67" s="2"/>
    </row>
    <row r="68" spans="8:11">
      <c r="H68" s="2"/>
      <c r="I68" s="2"/>
      <c r="J68" s="2"/>
      <c r="K68" s="2"/>
    </row>
    <row r="69" spans="8:11">
      <c r="H69" s="2"/>
      <c r="I69" s="2"/>
      <c r="J69" s="2"/>
      <c r="K69" s="2"/>
    </row>
    <row r="71" spans="8:11" ht="15">
      <c r="H71" s="10" t="s">
        <v>148</v>
      </c>
      <c r="I71" s="10"/>
      <c r="J71" s="10"/>
      <c r="K71" s="10"/>
    </row>
    <row r="72" spans="8:11" ht="15">
      <c r="H72" s="10" t="s">
        <v>18</v>
      </c>
      <c r="I72" s="10" t="s">
        <v>149</v>
      </c>
      <c r="J72" s="10" t="s">
        <v>150</v>
      </c>
      <c r="K72" s="10" t="s">
        <v>151</v>
      </c>
    </row>
    <row r="73" spans="8:11">
      <c r="H73" s="2" t="s">
        <v>99</v>
      </c>
      <c r="I73" s="2">
        <v>24</v>
      </c>
      <c r="J73" s="2" t="s">
        <v>100</v>
      </c>
      <c r="K73" s="2">
        <v>13</v>
      </c>
    </row>
    <row r="74" spans="8:11">
      <c r="H74" s="2" t="s">
        <v>127</v>
      </c>
      <c r="I74" s="2" t="s">
        <v>152</v>
      </c>
      <c r="J74" s="2" t="s">
        <v>153</v>
      </c>
      <c r="K74" s="2" t="s">
        <v>154</v>
      </c>
    </row>
    <row r="75" spans="8:11">
      <c r="H75" s="2" t="s">
        <v>107</v>
      </c>
      <c r="I75" s="2" t="s">
        <v>155</v>
      </c>
      <c r="J75" s="2" t="s">
        <v>156</v>
      </c>
      <c r="K75" s="2" t="s">
        <v>157</v>
      </c>
    </row>
    <row r="76" spans="8:11">
      <c r="H76" s="2"/>
      <c r="I76" s="2" t="s">
        <v>158</v>
      </c>
      <c r="J76" s="2" t="s">
        <v>159</v>
      </c>
      <c r="K76" s="2" t="s">
        <v>160</v>
      </c>
    </row>
    <row r="77" spans="8:11">
      <c r="H77" s="2"/>
      <c r="I77" s="2" t="s">
        <v>161</v>
      </c>
      <c r="J77" s="2" t="s">
        <v>162</v>
      </c>
      <c r="K77" s="2" t="s">
        <v>163</v>
      </c>
    </row>
    <row r="78" spans="8:11">
      <c r="H78" s="2" t="s">
        <v>71</v>
      </c>
      <c r="I78" s="2" t="s">
        <v>135</v>
      </c>
      <c r="J78" s="2" t="s">
        <v>164</v>
      </c>
      <c r="K78" s="2" t="s">
        <v>165</v>
      </c>
    </row>
    <row r="79" spans="8:11">
      <c r="H79" s="2" t="s">
        <v>166</v>
      </c>
      <c r="I79" s="2" t="s">
        <v>167</v>
      </c>
      <c r="J79" s="2" t="s">
        <v>168</v>
      </c>
      <c r="K79" s="2" t="s">
        <v>169</v>
      </c>
    </row>
    <row r="80" spans="8:11" ht="28.5">
      <c r="H80" s="2" t="s">
        <v>86</v>
      </c>
      <c r="I80" s="2" t="s">
        <v>170</v>
      </c>
      <c r="J80" s="2"/>
      <c r="K80" s="2"/>
    </row>
    <row r="81" spans="8:11">
      <c r="H81" s="2" t="s">
        <v>88</v>
      </c>
      <c r="I81" s="2" t="s">
        <v>171</v>
      </c>
      <c r="J81" s="2"/>
      <c r="K81" s="2"/>
    </row>
    <row r="82" spans="8:11">
      <c r="H82" s="2"/>
      <c r="I82" s="2"/>
      <c r="J82" s="2"/>
      <c r="K82" s="2"/>
    </row>
    <row r="83" spans="8:11">
      <c r="H83" s="2"/>
      <c r="I83" s="2"/>
      <c r="J83" s="2"/>
      <c r="K83" s="2"/>
    </row>
    <row r="84" spans="8:11">
      <c r="H84" s="2"/>
      <c r="I84" s="2"/>
      <c r="J84" s="2"/>
      <c r="K84" s="2"/>
    </row>
    <row r="86" spans="8:11" ht="15">
      <c r="H86" s="11" t="s">
        <v>172</v>
      </c>
      <c r="I86" s="11"/>
      <c r="J86" s="11"/>
      <c r="K86" s="11"/>
    </row>
    <row r="87" spans="8:11" ht="15">
      <c r="H87" s="11" t="s">
        <v>18</v>
      </c>
      <c r="I87" s="11" t="s">
        <v>173</v>
      </c>
      <c r="J87" s="11" t="s">
        <v>174</v>
      </c>
      <c r="K87" s="11" t="s">
        <v>175</v>
      </c>
    </row>
    <row r="88" spans="8:11">
      <c r="H88" s="2" t="s">
        <v>99</v>
      </c>
      <c r="I88" s="2">
        <v>44</v>
      </c>
      <c r="J88" s="2" t="s">
        <v>100</v>
      </c>
      <c r="K88" s="2">
        <v>5</v>
      </c>
    </row>
    <row r="89" spans="8:11">
      <c r="H89" s="2" t="s">
        <v>107</v>
      </c>
      <c r="I89" s="2" t="s">
        <v>176</v>
      </c>
      <c r="J89" s="2" t="s">
        <v>177</v>
      </c>
      <c r="K89" s="2" t="s">
        <v>178</v>
      </c>
    </row>
    <row r="90" spans="8:11">
      <c r="H90" s="2"/>
      <c r="I90" s="2" t="s">
        <v>179</v>
      </c>
      <c r="J90" s="2" t="s">
        <v>180</v>
      </c>
      <c r="K90" s="2" t="s">
        <v>181</v>
      </c>
    </row>
    <row r="91" spans="8:11">
      <c r="H91" s="2"/>
      <c r="I91" s="2" t="s">
        <v>182</v>
      </c>
      <c r="J91" s="2" t="s">
        <v>183</v>
      </c>
      <c r="K91" s="2" t="s">
        <v>184</v>
      </c>
    </row>
    <row r="92" spans="8:11">
      <c r="H92" s="2" t="s">
        <v>185</v>
      </c>
      <c r="I92" s="2" t="s">
        <v>176</v>
      </c>
      <c r="J92" s="2" t="s">
        <v>178</v>
      </c>
      <c r="K92" s="2" t="s">
        <v>177</v>
      </c>
    </row>
    <row r="93" spans="8:11">
      <c r="H93" s="2" t="s">
        <v>127</v>
      </c>
      <c r="I93" s="2" t="s">
        <v>186</v>
      </c>
      <c r="J93" s="2" t="s">
        <v>187</v>
      </c>
      <c r="K93" s="2" t="s">
        <v>188</v>
      </c>
    </row>
    <row r="94" spans="8:11">
      <c r="H94" s="2"/>
      <c r="I94" s="2"/>
      <c r="J94" s="2"/>
      <c r="K94" s="2"/>
    </row>
    <row r="95" spans="8:11">
      <c r="H95" s="2"/>
      <c r="I95" s="2"/>
      <c r="J95" s="2"/>
      <c r="K95" s="2"/>
    </row>
    <row r="96" spans="8:11">
      <c r="H96" s="2"/>
      <c r="I96" s="2"/>
      <c r="J96" s="2"/>
      <c r="K96" s="2"/>
    </row>
    <row r="98" spans="8:11" ht="15">
      <c r="H98" s="12" t="s">
        <v>189</v>
      </c>
      <c r="I98" s="12"/>
      <c r="J98" s="12"/>
      <c r="K98" s="12"/>
    </row>
    <row r="99" spans="8:11" ht="15">
      <c r="H99" s="12" t="s">
        <v>18</v>
      </c>
      <c r="I99" s="12" t="s">
        <v>190</v>
      </c>
      <c r="J99" s="12" t="s">
        <v>191</v>
      </c>
      <c r="K99" s="12" t="s">
        <v>192</v>
      </c>
    </row>
    <row r="100" spans="8:11">
      <c r="H100" s="2" t="s">
        <v>99</v>
      </c>
      <c r="I100" s="2">
        <v>15</v>
      </c>
      <c r="J100" s="2" t="s">
        <v>100</v>
      </c>
      <c r="K100" s="2">
        <v>10</v>
      </c>
    </row>
    <row r="101" spans="8:11">
      <c r="H101" s="2" t="s">
        <v>193</v>
      </c>
      <c r="I101" s="2" t="s">
        <v>194</v>
      </c>
      <c r="J101" s="2" t="s">
        <v>195</v>
      </c>
      <c r="K101" s="2" t="s">
        <v>196</v>
      </c>
    </row>
    <row r="102" spans="8:11">
      <c r="H102" s="2" t="s">
        <v>107</v>
      </c>
      <c r="I102" s="2" t="s">
        <v>197</v>
      </c>
      <c r="J102" s="2" t="s">
        <v>159</v>
      </c>
      <c r="K102" s="2" t="s">
        <v>198</v>
      </c>
    </row>
    <row r="103" spans="8:11">
      <c r="H103" s="2"/>
      <c r="I103" s="2" t="s">
        <v>199</v>
      </c>
      <c r="J103" s="2" t="s">
        <v>200</v>
      </c>
      <c r="K103" s="2" t="s">
        <v>201</v>
      </c>
    </row>
    <row r="104" spans="8:11">
      <c r="H104" s="2"/>
      <c r="I104" s="2" t="s">
        <v>202</v>
      </c>
      <c r="J104" s="2" t="s">
        <v>203</v>
      </c>
      <c r="K104" s="2" t="s">
        <v>204</v>
      </c>
    </row>
    <row r="105" spans="8:11">
      <c r="H105" s="2" t="s">
        <v>205</v>
      </c>
      <c r="I105" s="2" t="s">
        <v>206</v>
      </c>
      <c r="J105" s="2" t="s">
        <v>207</v>
      </c>
      <c r="K105" s="2" t="s">
        <v>208</v>
      </c>
    </row>
    <row r="106" spans="8:11">
      <c r="H106" s="2" t="s">
        <v>209</v>
      </c>
      <c r="I106" s="2" t="s">
        <v>210</v>
      </c>
      <c r="J106" s="2" t="s">
        <v>211</v>
      </c>
      <c r="K106" s="2" t="s">
        <v>212</v>
      </c>
    </row>
    <row r="107" spans="8:11">
      <c r="H107" s="2" t="s">
        <v>86</v>
      </c>
      <c r="I107" s="2" t="s">
        <v>213</v>
      </c>
      <c r="J107" s="2" t="s">
        <v>214</v>
      </c>
      <c r="K107" s="2" t="s">
        <v>215</v>
      </c>
    </row>
    <row r="108" spans="8:11">
      <c r="H108" s="2" t="s">
        <v>88</v>
      </c>
      <c r="I108" s="2" t="s">
        <v>216</v>
      </c>
      <c r="J108" s="2"/>
      <c r="K108" s="2"/>
    </row>
    <row r="109" spans="8:11">
      <c r="H109" s="2"/>
      <c r="I109" s="2"/>
      <c r="J109" s="2"/>
      <c r="K109" s="2"/>
    </row>
    <row r="110" spans="8:11">
      <c r="H110" s="2"/>
      <c r="I110" s="2"/>
      <c r="J110" s="2"/>
      <c r="K110" s="2"/>
    </row>
    <row r="112" spans="8:11" ht="15">
      <c r="H112" s="13" t="s">
        <v>217</v>
      </c>
      <c r="I112" s="13"/>
      <c r="J112" s="13"/>
      <c r="K112" s="13"/>
    </row>
    <row r="113" spans="8:11" ht="30">
      <c r="H113" s="13" t="s">
        <v>18</v>
      </c>
      <c r="I113" s="13" t="s">
        <v>218</v>
      </c>
      <c r="J113" s="13" t="s">
        <v>219</v>
      </c>
      <c r="K113" s="13" t="s">
        <v>220</v>
      </c>
    </row>
    <row r="114" spans="8:11">
      <c r="H114" s="2" t="s">
        <v>99</v>
      </c>
      <c r="I114" s="2">
        <v>13</v>
      </c>
      <c r="J114" s="2" t="s">
        <v>100</v>
      </c>
      <c r="K114" s="2">
        <v>9</v>
      </c>
    </row>
    <row r="115" spans="8:11">
      <c r="H115" s="2" t="s">
        <v>107</v>
      </c>
      <c r="I115" s="2" t="s">
        <v>221</v>
      </c>
      <c r="J115" s="2" t="s">
        <v>222</v>
      </c>
      <c r="K115" s="2" t="s">
        <v>177</v>
      </c>
    </row>
    <row r="116" spans="8:11">
      <c r="H116" s="2"/>
      <c r="I116" s="2" t="s">
        <v>223</v>
      </c>
      <c r="J116" s="2" t="s">
        <v>183</v>
      </c>
      <c r="K116" s="2" t="s">
        <v>224</v>
      </c>
    </row>
    <row r="117" spans="8:11">
      <c r="H117" s="2"/>
      <c r="I117" s="2" t="s">
        <v>176</v>
      </c>
      <c r="J117" s="2" t="s">
        <v>225</v>
      </c>
      <c r="K117" s="2" t="s">
        <v>180</v>
      </c>
    </row>
    <row r="118" spans="8:11">
      <c r="H118" s="2" t="s">
        <v>226</v>
      </c>
      <c r="I118" s="2" t="s">
        <v>227</v>
      </c>
      <c r="J118" s="2" t="s">
        <v>228</v>
      </c>
      <c r="K118" s="2" t="s">
        <v>229</v>
      </c>
    </row>
    <row r="119" spans="8:11">
      <c r="H119" s="2" t="s">
        <v>127</v>
      </c>
      <c r="I119" s="2" t="s">
        <v>186</v>
      </c>
      <c r="J119" s="2" t="s">
        <v>230</v>
      </c>
      <c r="K119" s="2" t="s">
        <v>231</v>
      </c>
    </row>
    <row r="120" spans="8:11">
      <c r="H120" s="2" t="s">
        <v>86</v>
      </c>
      <c r="I120" s="2" t="s">
        <v>232</v>
      </c>
      <c r="J120" s="2" t="s">
        <v>233</v>
      </c>
      <c r="K120" s="2" t="s">
        <v>215</v>
      </c>
    </row>
    <row r="121" spans="8:11">
      <c r="H121" s="2" t="s">
        <v>88</v>
      </c>
      <c r="I121" s="2" t="s">
        <v>234</v>
      </c>
      <c r="J121" s="2"/>
      <c r="K121" s="2"/>
    </row>
    <row r="122" spans="8:11">
      <c r="H122" s="2"/>
      <c r="I122" s="2"/>
      <c r="J122" s="2"/>
      <c r="K122" s="2"/>
    </row>
    <row r="123" spans="8:11">
      <c r="H123" s="2"/>
      <c r="I123" s="2"/>
      <c r="J123" s="2"/>
      <c r="K123" s="2"/>
    </row>
    <row r="124" spans="8:11">
      <c r="H124" s="2"/>
      <c r="I124" s="2"/>
      <c r="J124" s="2"/>
      <c r="K124" s="2"/>
    </row>
    <row r="125" spans="8:11">
      <c r="H125" s="2"/>
      <c r="I125" s="2"/>
      <c r="J125" s="2"/>
      <c r="K125" s="2"/>
    </row>
    <row r="127" spans="8:11" ht="15">
      <c r="H127" s="14" t="s">
        <v>235</v>
      </c>
      <c r="I127" s="14"/>
      <c r="J127" s="14"/>
      <c r="K127" s="14"/>
    </row>
    <row r="128" spans="8:11" ht="15">
      <c r="H128" s="14" t="s">
        <v>18</v>
      </c>
      <c r="I128" s="14" t="s">
        <v>236</v>
      </c>
      <c r="J128" s="14" t="s">
        <v>237</v>
      </c>
      <c r="K128" s="14" t="s">
        <v>238</v>
      </c>
    </row>
    <row r="129" spans="8:11">
      <c r="H129" s="2" t="s">
        <v>99</v>
      </c>
      <c r="I129" s="2">
        <v>20</v>
      </c>
      <c r="J129" s="2" t="s">
        <v>100</v>
      </c>
      <c r="K129" s="2">
        <v>3</v>
      </c>
    </row>
    <row r="130" spans="8:11">
      <c r="H130" s="2" t="s">
        <v>107</v>
      </c>
      <c r="I130" s="2" t="s">
        <v>239</v>
      </c>
      <c r="J130" s="2" t="s">
        <v>240</v>
      </c>
      <c r="K130" s="2" t="s">
        <v>241</v>
      </c>
    </row>
    <row r="131" spans="8:11">
      <c r="H131" s="2"/>
      <c r="I131" s="2" t="s">
        <v>242</v>
      </c>
      <c r="J131" s="2" t="s">
        <v>243</v>
      </c>
      <c r="K131" s="2" t="s">
        <v>244</v>
      </c>
    </row>
    <row r="132" spans="8:11">
      <c r="H132" s="2"/>
      <c r="I132" s="2" t="s">
        <v>245</v>
      </c>
      <c r="J132" s="2" t="s">
        <v>246</v>
      </c>
      <c r="K132" s="2" t="s">
        <v>247</v>
      </c>
    </row>
    <row r="133" spans="8:11">
      <c r="H133" s="2" t="s">
        <v>226</v>
      </c>
      <c r="I133" s="2" t="s">
        <v>239</v>
      </c>
      <c r="J133" s="2" t="s">
        <v>248</v>
      </c>
      <c r="K133" s="2" t="s">
        <v>249</v>
      </c>
    </row>
    <row r="134" spans="8:11">
      <c r="H134" s="2" t="s">
        <v>127</v>
      </c>
      <c r="I134" s="2" t="s">
        <v>250</v>
      </c>
      <c r="J134" s="2" t="s">
        <v>251</v>
      </c>
      <c r="K134" s="2" t="s">
        <v>196</v>
      </c>
    </row>
    <row r="135" spans="8:11">
      <c r="H135" s="2" t="s">
        <v>86</v>
      </c>
      <c r="I135" s="2" t="s">
        <v>252</v>
      </c>
      <c r="J135" s="2" t="s">
        <v>253</v>
      </c>
      <c r="K135" s="2" t="s">
        <v>215</v>
      </c>
    </row>
    <row r="136" spans="8:11">
      <c r="H136" s="2" t="s">
        <v>88</v>
      </c>
      <c r="I136" s="2" t="s">
        <v>254</v>
      </c>
      <c r="J136" s="2"/>
      <c r="K136" s="2"/>
    </row>
    <row r="137" spans="8:11">
      <c r="H137" s="2"/>
      <c r="I137" s="2"/>
      <c r="J137" s="2"/>
      <c r="K137" s="2"/>
    </row>
    <row r="138" spans="8:11">
      <c r="H138" s="2"/>
      <c r="I138" s="2"/>
      <c r="J138" s="2"/>
      <c r="K138" s="2"/>
    </row>
    <row r="139" spans="8:11">
      <c r="H139" s="2"/>
      <c r="I139" s="2"/>
      <c r="J139" s="2"/>
      <c r="K139" s="2"/>
    </row>
    <row r="140" spans="8:11">
      <c r="H140" s="2"/>
      <c r="I140" s="2"/>
      <c r="J140" s="2"/>
      <c r="K140" s="2"/>
    </row>
    <row r="142" spans="8:11" ht="15">
      <c r="H142" s="15" t="s">
        <v>255</v>
      </c>
      <c r="I142" s="15"/>
      <c r="J142" s="15"/>
      <c r="K142" s="15"/>
    </row>
    <row r="143" spans="8:11" ht="15">
      <c r="H143" s="15" t="s">
        <v>18</v>
      </c>
      <c r="I143" s="15" t="s">
        <v>256</v>
      </c>
      <c r="J143" s="15" t="s">
        <v>257</v>
      </c>
      <c r="K143" s="15" t="s">
        <v>258</v>
      </c>
    </row>
    <row r="144" spans="8:11">
      <c r="H144" s="2" t="s">
        <v>99</v>
      </c>
      <c r="I144" s="2">
        <v>16</v>
      </c>
      <c r="J144" s="2" t="s">
        <v>100</v>
      </c>
      <c r="K144" s="2">
        <v>28</v>
      </c>
    </row>
    <row r="145" spans="8:11">
      <c r="H145" s="2" t="s">
        <v>259</v>
      </c>
      <c r="I145" s="2" t="s">
        <v>260</v>
      </c>
      <c r="J145" s="2" t="s">
        <v>261</v>
      </c>
      <c r="K145" s="2" t="s">
        <v>262</v>
      </c>
    </row>
    <row r="146" spans="8:11">
      <c r="H146" s="2" t="s">
        <v>263</v>
      </c>
      <c r="I146" s="2" t="s">
        <v>264</v>
      </c>
      <c r="J146" s="2" t="s">
        <v>265</v>
      </c>
      <c r="K146" s="2" t="s">
        <v>266</v>
      </c>
    </row>
    <row r="147" spans="8:11">
      <c r="H147" s="2"/>
      <c r="I147" s="2" t="s">
        <v>267</v>
      </c>
      <c r="J147" s="2" t="s">
        <v>268</v>
      </c>
      <c r="K147" s="2" t="s">
        <v>269</v>
      </c>
    </row>
    <row r="148" spans="8:11">
      <c r="H148" s="2" t="s">
        <v>270</v>
      </c>
      <c r="I148" s="2" t="s">
        <v>271</v>
      </c>
      <c r="J148" s="2" t="s">
        <v>272</v>
      </c>
      <c r="K148" s="2" t="s">
        <v>273</v>
      </c>
    </row>
    <row r="149" spans="8:11">
      <c r="H149" s="2" t="s">
        <v>274</v>
      </c>
      <c r="I149" s="2" t="s">
        <v>275</v>
      </c>
      <c r="J149" s="2" t="s">
        <v>276</v>
      </c>
      <c r="K149" s="2" t="s">
        <v>277</v>
      </c>
    </row>
    <row r="150" spans="8:11">
      <c r="H150" s="2" t="s">
        <v>75</v>
      </c>
      <c r="I150" s="2" t="s">
        <v>278</v>
      </c>
      <c r="J150" s="2" t="s">
        <v>279</v>
      </c>
      <c r="K150" s="2" t="s">
        <v>280</v>
      </c>
    </row>
    <row r="151" spans="8:11">
      <c r="H151" s="2" t="s">
        <v>281</v>
      </c>
      <c r="I151" s="2" t="s">
        <v>282</v>
      </c>
      <c r="J151" s="2" t="s">
        <v>283</v>
      </c>
      <c r="K151" s="2" t="s">
        <v>284</v>
      </c>
    </row>
    <row r="152" spans="8:11">
      <c r="H152" s="2" t="s">
        <v>127</v>
      </c>
      <c r="I152" s="2" t="s">
        <v>97</v>
      </c>
      <c r="J152" s="2" t="s">
        <v>285</v>
      </c>
      <c r="K152" s="2" t="s">
        <v>286</v>
      </c>
    </row>
    <row r="153" spans="8:11">
      <c r="H153" s="2" t="s">
        <v>86</v>
      </c>
      <c r="I153" s="2" t="s">
        <v>287</v>
      </c>
      <c r="J153" s="2" t="s">
        <v>288</v>
      </c>
      <c r="K153" s="2" t="s">
        <v>215</v>
      </c>
    </row>
    <row r="154" spans="8:11">
      <c r="H154" s="2" t="s">
        <v>88</v>
      </c>
      <c r="I154" s="2" t="s">
        <v>289</v>
      </c>
      <c r="J154" s="2"/>
      <c r="K154" s="2"/>
    </row>
    <row r="155" spans="8:11">
      <c r="H155" s="2"/>
      <c r="I155" s="2"/>
      <c r="J155" s="2"/>
      <c r="K155" s="2"/>
    </row>
    <row r="156" spans="8:11">
      <c r="H156" s="2"/>
      <c r="I156" s="2"/>
      <c r="J156" s="2"/>
      <c r="K156" s="2"/>
    </row>
    <row r="158" spans="8:11" ht="15">
      <c r="H158" s="16" t="s">
        <v>290</v>
      </c>
      <c r="I158" s="16"/>
      <c r="J158" s="16"/>
      <c r="K158" s="16"/>
    </row>
    <row r="159" spans="8:11" ht="15">
      <c r="H159" s="16" t="s">
        <v>18</v>
      </c>
      <c r="I159" s="16" t="s">
        <v>291</v>
      </c>
      <c r="J159" s="16" t="s">
        <v>292</v>
      </c>
      <c r="K159" s="16" t="s">
        <v>293</v>
      </c>
    </row>
    <row r="160" spans="8:11">
      <c r="H160" s="2" t="s">
        <v>99</v>
      </c>
      <c r="I160" s="2">
        <v>7</v>
      </c>
      <c r="J160" s="2" t="s">
        <v>100</v>
      </c>
      <c r="K160" s="2">
        <v>12</v>
      </c>
    </row>
    <row r="161" spans="8:11">
      <c r="H161" s="2" t="s">
        <v>259</v>
      </c>
      <c r="I161" s="2" t="s">
        <v>294</v>
      </c>
      <c r="J161" s="2" t="s">
        <v>295</v>
      </c>
      <c r="K161" s="2" t="s">
        <v>296</v>
      </c>
    </row>
    <row r="162" spans="8:11">
      <c r="H162" s="2" t="s">
        <v>107</v>
      </c>
      <c r="I162" s="2" t="s">
        <v>297</v>
      </c>
      <c r="J162" s="2" t="s">
        <v>298</v>
      </c>
      <c r="K162" s="2" t="s">
        <v>299</v>
      </c>
    </row>
    <row r="163" spans="8:11">
      <c r="H163" s="2"/>
      <c r="I163" s="2" t="s">
        <v>300</v>
      </c>
      <c r="J163" s="2" t="s">
        <v>301</v>
      </c>
      <c r="K163" s="2" t="s">
        <v>136</v>
      </c>
    </row>
    <row r="164" spans="8:11">
      <c r="H164" s="2" t="s">
        <v>302</v>
      </c>
      <c r="I164" s="2" t="s">
        <v>303</v>
      </c>
      <c r="J164" s="2" t="s">
        <v>304</v>
      </c>
      <c r="K164" s="2" t="s">
        <v>305</v>
      </c>
    </row>
    <row r="165" spans="8:11">
      <c r="H165" s="2"/>
      <c r="I165" s="2" t="s">
        <v>306</v>
      </c>
      <c r="J165" s="2" t="s">
        <v>307</v>
      </c>
      <c r="K165" s="2" t="s">
        <v>308</v>
      </c>
    </row>
    <row r="166" spans="8:11">
      <c r="H166" s="2" t="s">
        <v>75</v>
      </c>
      <c r="I166" s="2" t="s">
        <v>297</v>
      </c>
      <c r="J166" s="2" t="s">
        <v>298</v>
      </c>
      <c r="K166" s="2" t="s">
        <v>279</v>
      </c>
    </row>
    <row r="167" spans="8:11">
      <c r="H167" s="2" t="s">
        <v>127</v>
      </c>
      <c r="I167" s="2" t="s">
        <v>97</v>
      </c>
      <c r="J167" s="2" t="s">
        <v>309</v>
      </c>
      <c r="K167" s="2" t="s">
        <v>310</v>
      </c>
    </row>
    <row r="168" spans="8:11">
      <c r="H168" s="2" t="s">
        <v>86</v>
      </c>
      <c r="I168" s="2" t="s">
        <v>146</v>
      </c>
      <c r="J168" s="2" t="s">
        <v>311</v>
      </c>
      <c r="K168" s="2" t="s">
        <v>215</v>
      </c>
    </row>
    <row r="169" spans="8:11">
      <c r="H169" s="2" t="s">
        <v>88</v>
      </c>
      <c r="I169" s="2" t="s">
        <v>312</v>
      </c>
      <c r="J169" s="2"/>
      <c r="K169" s="2"/>
    </row>
    <row r="170" spans="8:11">
      <c r="H170" s="2"/>
      <c r="I170" s="2"/>
      <c r="J170" s="2"/>
      <c r="K170" s="2"/>
    </row>
    <row r="171" spans="8:11">
      <c r="H171" s="2"/>
      <c r="I171" s="2"/>
      <c r="J171" s="2"/>
      <c r="K171" s="2"/>
    </row>
    <row r="172" spans="8:11">
      <c r="H172" s="2"/>
      <c r="I172" s="2"/>
      <c r="J172" s="2"/>
      <c r="K172" s="2"/>
    </row>
    <row r="174" spans="8:11" ht="15">
      <c r="H174" s="19" t="s">
        <v>313</v>
      </c>
      <c r="I174" s="19"/>
      <c r="J174" s="19"/>
      <c r="K174" s="19"/>
    </row>
    <row r="175" spans="8:11" ht="15">
      <c r="H175" s="19" t="s">
        <v>314</v>
      </c>
      <c r="I175" s="19" t="s">
        <v>315</v>
      </c>
      <c r="J175" s="19" t="s">
        <v>316</v>
      </c>
      <c r="K175" s="19" t="s">
        <v>317</v>
      </c>
    </row>
    <row r="176" spans="8:11">
      <c r="H176" s="2" t="s">
        <v>318</v>
      </c>
      <c r="I176" s="2">
        <v>313</v>
      </c>
      <c r="J176" s="2" t="s">
        <v>319</v>
      </c>
      <c r="K176" s="2">
        <v>1172</v>
      </c>
    </row>
    <row r="177" spans="8:11">
      <c r="H177" s="2" t="s">
        <v>320</v>
      </c>
      <c r="I177" s="2">
        <v>258</v>
      </c>
      <c r="J177" s="2" t="s">
        <v>321</v>
      </c>
      <c r="K177" s="2">
        <v>1743</v>
      </c>
    </row>
    <row r="178" spans="8:11" ht="28.5">
      <c r="H178" s="2" t="s">
        <v>322</v>
      </c>
      <c r="I178" s="2" t="s">
        <v>323</v>
      </c>
      <c r="J178" s="2" t="s">
        <v>324</v>
      </c>
      <c r="K178" s="2" t="s">
        <v>325</v>
      </c>
    </row>
    <row r="179" spans="8:11" ht="28.5">
      <c r="H179" s="2" t="s">
        <v>326</v>
      </c>
      <c r="I179" s="2" t="s">
        <v>327</v>
      </c>
      <c r="J179" s="2"/>
      <c r="K179" s="2"/>
    </row>
    <row r="180" spans="8:11">
      <c r="H180" s="2"/>
      <c r="I180" s="2"/>
      <c r="J180" s="2"/>
      <c r="K180" s="2"/>
    </row>
    <row r="181" spans="8:11">
      <c r="H181" s="2"/>
      <c r="I181" s="2"/>
      <c r="J181" s="2"/>
      <c r="K181" s="2"/>
    </row>
    <row r="182" spans="8:11">
      <c r="H182" s="2"/>
      <c r="I182" s="2"/>
      <c r="J182" s="2"/>
      <c r="K182" s="2"/>
    </row>
    <row r="183" spans="8:11">
      <c r="H183" s="2"/>
      <c r="I183" s="2"/>
      <c r="J183" s="2"/>
      <c r="K183" s="2"/>
    </row>
    <row r="184" spans="8:11">
      <c r="H184" s="2"/>
      <c r="I184" s="2"/>
      <c r="J184" s="2"/>
      <c r="K184" s="2"/>
    </row>
    <row r="185" spans="8:11">
      <c r="H185" s="2"/>
      <c r="I185" s="2"/>
      <c r="J185" s="2"/>
      <c r="K185" s="2"/>
    </row>
    <row r="186" spans="8:11">
      <c r="H186" s="2"/>
      <c r="I186" s="2"/>
      <c r="J186" s="2"/>
      <c r="K186" s="2"/>
    </row>
    <row r="188" spans="8:11" ht="15">
      <c r="H188" s="20" t="s">
        <v>328</v>
      </c>
      <c r="I188" s="20"/>
      <c r="J188" s="20"/>
      <c r="K188" s="20"/>
    </row>
    <row r="189" spans="8:11" ht="15">
      <c r="H189" s="20" t="s">
        <v>18</v>
      </c>
      <c r="I189" s="20" t="s">
        <v>329</v>
      </c>
      <c r="J189" s="20" t="s">
        <v>330</v>
      </c>
      <c r="K189" s="20" t="s">
        <v>331</v>
      </c>
    </row>
    <row r="190" spans="8:11">
      <c r="H190" s="2" t="s">
        <v>99</v>
      </c>
      <c r="I190" s="2">
        <v>12</v>
      </c>
      <c r="J190" s="2" t="s">
        <v>100</v>
      </c>
      <c r="K190" s="2">
        <v>8</v>
      </c>
    </row>
    <row r="191" spans="8:11">
      <c r="H191" s="2" t="s">
        <v>107</v>
      </c>
      <c r="I191" s="2" t="s">
        <v>332</v>
      </c>
      <c r="J191" s="2" t="s">
        <v>333</v>
      </c>
      <c r="K191" s="2" t="s">
        <v>334</v>
      </c>
    </row>
    <row r="192" spans="8:11">
      <c r="H192" s="2"/>
      <c r="I192" s="2" t="s">
        <v>335</v>
      </c>
      <c r="J192" s="2" t="s">
        <v>336</v>
      </c>
      <c r="K192" s="2" t="s">
        <v>337</v>
      </c>
    </row>
    <row r="193" spans="8:11">
      <c r="H193" s="2" t="s">
        <v>338</v>
      </c>
      <c r="I193" s="2" t="s">
        <v>339</v>
      </c>
      <c r="J193" s="2" t="s">
        <v>340</v>
      </c>
      <c r="K193" s="2" t="s">
        <v>341</v>
      </c>
    </row>
    <row r="194" spans="8:11">
      <c r="H194" s="2" t="s">
        <v>342</v>
      </c>
      <c r="I194" s="2" t="s">
        <v>343</v>
      </c>
      <c r="J194" s="2" t="s">
        <v>344</v>
      </c>
      <c r="K194" s="2" t="s">
        <v>345</v>
      </c>
    </row>
    <row r="195" spans="8:11">
      <c r="H195" s="2" t="s">
        <v>75</v>
      </c>
      <c r="I195" s="2" t="s">
        <v>346</v>
      </c>
      <c r="J195" s="2" t="s">
        <v>301</v>
      </c>
      <c r="K195" s="2" t="s">
        <v>347</v>
      </c>
    </row>
    <row r="196" spans="8:11">
      <c r="H196" s="2" t="s">
        <v>127</v>
      </c>
      <c r="I196" s="2" t="s">
        <v>348</v>
      </c>
      <c r="J196" s="2" t="s">
        <v>349</v>
      </c>
      <c r="K196" s="2" t="s">
        <v>196</v>
      </c>
    </row>
    <row r="197" spans="8:11">
      <c r="H197" s="2" t="s">
        <v>350</v>
      </c>
      <c r="I197" s="2" t="s">
        <v>351</v>
      </c>
      <c r="J197" s="2" t="s">
        <v>352</v>
      </c>
      <c r="K197" s="2" t="s">
        <v>353</v>
      </c>
    </row>
    <row r="198" spans="8:11">
      <c r="H198" s="2"/>
      <c r="I198" s="2"/>
      <c r="J198" s="2"/>
      <c r="K198" s="2"/>
    </row>
    <row r="199" spans="8:11">
      <c r="H199" s="2"/>
      <c r="I199" s="2"/>
      <c r="J199" s="2"/>
      <c r="K199" s="2"/>
    </row>
    <row r="200" spans="8:11">
      <c r="H200" s="2"/>
      <c r="I200" s="2"/>
      <c r="J200" s="2"/>
      <c r="K200" s="2"/>
    </row>
    <row r="201" spans="8:11">
      <c r="H201" s="2"/>
      <c r="I201" s="2"/>
      <c r="J201" s="2"/>
      <c r="K201" s="2"/>
    </row>
    <row r="203" spans="8:11" ht="15">
      <c r="H203" s="21" t="s">
        <v>354</v>
      </c>
      <c r="I203" s="21"/>
      <c r="J203" s="21"/>
      <c r="K203" s="21"/>
    </row>
    <row r="204" spans="8:11" ht="15">
      <c r="H204" s="21" t="s">
        <v>355</v>
      </c>
      <c r="I204" s="21" t="s">
        <v>356</v>
      </c>
      <c r="J204" s="21" t="s">
        <v>357</v>
      </c>
      <c r="K204" s="21">
        <v>37</v>
      </c>
    </row>
    <row r="205" spans="8:11">
      <c r="H205" s="2" t="s">
        <v>358</v>
      </c>
      <c r="I205" s="2" t="s">
        <v>359</v>
      </c>
      <c r="J205" s="2" t="s">
        <v>360</v>
      </c>
      <c r="K205" s="2" t="s">
        <v>361</v>
      </c>
    </row>
    <row r="206" spans="8:11" ht="28.5">
      <c r="H206" s="2" t="s">
        <v>362</v>
      </c>
      <c r="I206" s="2" t="s">
        <v>363</v>
      </c>
      <c r="J206" s="2" t="s">
        <v>364</v>
      </c>
      <c r="K206" s="2" t="s">
        <v>365</v>
      </c>
    </row>
    <row r="207" spans="8:11" ht="28.5">
      <c r="H207" s="2" t="s">
        <v>107</v>
      </c>
      <c r="I207" s="2" t="s">
        <v>366</v>
      </c>
      <c r="J207" s="2" t="s">
        <v>367</v>
      </c>
      <c r="K207" s="2" t="s">
        <v>368</v>
      </c>
    </row>
    <row r="208" spans="8:11">
      <c r="H208" s="2" t="s">
        <v>369</v>
      </c>
      <c r="I208" s="2" t="s">
        <v>370</v>
      </c>
      <c r="J208" s="2" t="s">
        <v>371</v>
      </c>
      <c r="K208" s="2" t="s">
        <v>372</v>
      </c>
    </row>
    <row r="209" spans="8:11">
      <c r="H209" s="2" t="s">
        <v>373</v>
      </c>
      <c r="I209" s="2" t="s">
        <v>374</v>
      </c>
      <c r="J209" s="2" t="s">
        <v>375</v>
      </c>
      <c r="K209" s="2" t="s">
        <v>376</v>
      </c>
    </row>
    <row r="210" spans="8:11">
      <c r="H210" s="2" t="s">
        <v>377</v>
      </c>
      <c r="I210" s="2" t="s">
        <v>378</v>
      </c>
      <c r="J210" s="2" t="s">
        <v>315</v>
      </c>
      <c r="K210" s="2" t="s">
        <v>379</v>
      </c>
    </row>
    <row r="211" spans="8:11">
      <c r="H211" s="2"/>
      <c r="I211" s="2"/>
      <c r="J211" s="2"/>
      <c r="K211" s="2"/>
    </row>
    <row r="212" spans="8:11">
      <c r="H212" s="2"/>
      <c r="I212" s="2"/>
      <c r="J212" s="2"/>
      <c r="K212" s="2"/>
    </row>
    <row r="213" spans="8:11">
      <c r="H213" s="2"/>
      <c r="I213" s="2"/>
      <c r="J213" s="2"/>
      <c r="K213" s="2"/>
    </row>
    <row r="214" spans="8:11">
      <c r="H214" s="2"/>
      <c r="I214" s="2"/>
      <c r="J214" s="2"/>
      <c r="K214" s="2"/>
    </row>
    <row r="216" spans="8:11" ht="30">
      <c r="H216" s="22" t="s">
        <v>380</v>
      </c>
      <c r="I216" s="22"/>
      <c r="J216" s="22"/>
      <c r="K216" s="22"/>
    </row>
    <row r="217" spans="8:11" ht="15">
      <c r="H217" s="22" t="s">
        <v>99</v>
      </c>
      <c r="I217" s="22">
        <v>85</v>
      </c>
      <c r="J217" s="22" t="s">
        <v>381</v>
      </c>
      <c r="K217" s="22">
        <v>1</v>
      </c>
    </row>
    <row r="218" spans="8:11">
      <c r="H218" s="2" t="s">
        <v>382</v>
      </c>
      <c r="I218" s="2" t="s">
        <v>383</v>
      </c>
      <c r="J218" s="2" t="s">
        <v>384</v>
      </c>
      <c r="K218" s="2" t="s">
        <v>385</v>
      </c>
    </row>
    <row r="219" spans="8:11">
      <c r="H219" s="2" t="s">
        <v>386</v>
      </c>
      <c r="I219" s="2" t="s">
        <v>387</v>
      </c>
      <c r="J219" s="2"/>
      <c r="K219" s="2"/>
    </row>
    <row r="220" spans="8:11">
      <c r="H220" s="2" t="s">
        <v>388</v>
      </c>
      <c r="I220" s="2" t="s">
        <v>389</v>
      </c>
      <c r="J220" s="2"/>
      <c r="K220" s="2"/>
    </row>
    <row r="221" spans="8:11">
      <c r="H221" s="2" t="s">
        <v>390</v>
      </c>
      <c r="I221" s="2" t="s">
        <v>391</v>
      </c>
      <c r="J221" s="2"/>
      <c r="K221" s="2"/>
    </row>
    <row r="222" spans="8:11">
      <c r="H222" s="2" t="s">
        <v>392</v>
      </c>
      <c r="I222" s="2" t="s">
        <v>393</v>
      </c>
      <c r="J222" s="2"/>
      <c r="K222" s="2"/>
    </row>
    <row r="223" spans="8:11">
      <c r="H223" s="2" t="s">
        <v>394</v>
      </c>
      <c r="I223" s="2" t="s">
        <v>395</v>
      </c>
      <c r="J223" s="2"/>
      <c r="K223" s="2"/>
    </row>
    <row r="224" spans="8:11" ht="28.5">
      <c r="H224" s="2" t="s">
        <v>396</v>
      </c>
      <c r="I224" s="2" t="s">
        <v>397</v>
      </c>
      <c r="J224" s="2"/>
      <c r="K224" s="2"/>
    </row>
    <row r="225" spans="8:11" ht="28.5">
      <c r="H225" s="2" t="s">
        <v>398</v>
      </c>
      <c r="I225" s="2" t="s">
        <v>399</v>
      </c>
      <c r="J225" s="2"/>
      <c r="K225" s="2"/>
    </row>
    <row r="226" spans="8:11" ht="28.5">
      <c r="H226" s="2" t="s">
        <v>400</v>
      </c>
      <c r="I226" s="2" t="s">
        <v>401</v>
      </c>
      <c r="J226" s="2"/>
      <c r="K226" s="2"/>
    </row>
    <row r="227" spans="8:11">
      <c r="H227" s="2" t="s">
        <v>402</v>
      </c>
      <c r="I227" s="2" t="s">
        <v>97</v>
      </c>
      <c r="J227" s="2" t="s">
        <v>403</v>
      </c>
      <c r="K227" s="2" t="s">
        <v>404</v>
      </c>
    </row>
    <row r="228" spans="8:11">
      <c r="H228" s="2" t="s">
        <v>86</v>
      </c>
      <c r="I228" s="2" t="s">
        <v>405</v>
      </c>
      <c r="J228" s="2" t="s">
        <v>406</v>
      </c>
      <c r="K228" s="2" t="s">
        <v>407</v>
      </c>
    </row>
    <row r="229" spans="8:11">
      <c r="H229" s="2" t="s">
        <v>408</v>
      </c>
      <c r="I229" s="2">
        <v>1877</v>
      </c>
      <c r="J229" s="2" t="s">
        <v>356</v>
      </c>
      <c r="K229" s="2">
        <v>37</v>
      </c>
    </row>
    <row r="230" spans="8:11">
      <c r="H230" s="2"/>
      <c r="I230" s="2"/>
      <c r="J230" s="2"/>
      <c r="K230" s="2"/>
    </row>
    <row r="231" spans="8:11">
      <c r="H231" s="2"/>
      <c r="I231" s="2"/>
      <c r="J231" s="2"/>
      <c r="K231" s="2"/>
    </row>
    <row r="232" spans="8:11">
      <c r="H232" s="2"/>
      <c r="I232" s="2"/>
      <c r="J232" s="2"/>
      <c r="K232" s="2"/>
    </row>
    <row r="233" spans="8:11">
      <c r="H233" s="2"/>
      <c r="I233" s="2"/>
      <c r="J233" s="2"/>
      <c r="K233" s="2"/>
    </row>
    <row r="234" spans="8:11">
      <c r="H234" s="2"/>
      <c r="I234" s="2"/>
      <c r="J234" s="2"/>
      <c r="K234" s="2"/>
    </row>
    <row r="235" spans="8:11">
      <c r="H235" s="2"/>
      <c r="I235" s="2"/>
      <c r="J235" s="2"/>
      <c r="K235" s="2"/>
    </row>
    <row r="236" spans="8:11">
      <c r="H236" s="2"/>
      <c r="I236" s="2"/>
      <c r="J236" s="2"/>
      <c r="K236" s="2"/>
    </row>
    <row r="238" spans="8:11" ht="30">
      <c r="H238" s="23" t="s">
        <v>409</v>
      </c>
      <c r="I238" s="23"/>
      <c r="J238" s="23"/>
      <c r="K238" s="23"/>
    </row>
    <row r="239" spans="8:11" ht="15">
      <c r="H239" s="23" t="s">
        <v>99</v>
      </c>
      <c r="I239" s="23">
        <v>40</v>
      </c>
      <c r="J239" s="23" t="s">
        <v>410</v>
      </c>
      <c r="K239" s="23" t="s">
        <v>411</v>
      </c>
    </row>
    <row r="240" spans="8:11">
      <c r="H240" s="2" t="s">
        <v>412</v>
      </c>
      <c r="I240" s="2" t="s">
        <v>413</v>
      </c>
      <c r="J240" s="2" t="s">
        <v>414</v>
      </c>
      <c r="K240" s="2" t="s">
        <v>415</v>
      </c>
    </row>
    <row r="241" spans="8:11">
      <c r="H241" s="2" t="s">
        <v>416</v>
      </c>
      <c r="I241" s="2" t="s">
        <v>417</v>
      </c>
      <c r="J241" s="2" t="s">
        <v>418</v>
      </c>
      <c r="K241" s="2" t="s">
        <v>419</v>
      </c>
    </row>
    <row r="242" spans="8:11">
      <c r="H242" s="2" t="s">
        <v>420</v>
      </c>
      <c r="I242" s="2" t="s">
        <v>421</v>
      </c>
      <c r="J242" s="2" t="s">
        <v>422</v>
      </c>
      <c r="K242" s="2" t="s">
        <v>423</v>
      </c>
    </row>
    <row r="243" spans="8:11">
      <c r="H243" s="2" t="s">
        <v>424</v>
      </c>
      <c r="I243" s="2" t="s">
        <v>425</v>
      </c>
      <c r="J243" s="2" t="s">
        <v>426</v>
      </c>
      <c r="K243" s="2" t="s">
        <v>427</v>
      </c>
    </row>
    <row r="244" spans="8:11" ht="28.5">
      <c r="H244" s="2" t="s">
        <v>428</v>
      </c>
      <c r="I244" s="2" t="s">
        <v>429</v>
      </c>
      <c r="J244" s="2" t="s">
        <v>430</v>
      </c>
      <c r="K244" s="2" t="s">
        <v>431</v>
      </c>
    </row>
    <row r="245" spans="8:11">
      <c r="H245" s="2" t="s">
        <v>432</v>
      </c>
      <c r="I245" s="2" t="s">
        <v>433</v>
      </c>
      <c r="J245" s="2" t="s">
        <v>434</v>
      </c>
      <c r="K245" s="2" t="s">
        <v>435</v>
      </c>
    </row>
    <row r="246" spans="8:11">
      <c r="H246" s="2" t="s">
        <v>127</v>
      </c>
      <c r="I246" s="2" t="s">
        <v>436</v>
      </c>
      <c r="J246" s="2" t="s">
        <v>437</v>
      </c>
      <c r="K246" s="2" t="s">
        <v>438</v>
      </c>
    </row>
    <row r="247" spans="8:11">
      <c r="H247" s="2" t="s">
        <v>350</v>
      </c>
      <c r="I247" s="2" t="s">
        <v>439</v>
      </c>
      <c r="J247" s="2" t="s">
        <v>440</v>
      </c>
      <c r="K247" s="2" t="s">
        <v>441</v>
      </c>
    </row>
    <row r="248" spans="8:11">
      <c r="H248" s="2" t="s">
        <v>442</v>
      </c>
      <c r="I248" s="2">
        <v>1917</v>
      </c>
      <c r="J248" s="2" t="s">
        <v>443</v>
      </c>
      <c r="K248" s="2">
        <v>40</v>
      </c>
    </row>
    <row r="249" spans="8:11">
      <c r="H249" s="2"/>
      <c r="I249" s="2"/>
      <c r="J249" s="2"/>
      <c r="K249" s="2"/>
    </row>
    <row r="250" spans="8:11">
      <c r="H250" s="2"/>
      <c r="I250" s="2"/>
      <c r="J250" s="2"/>
      <c r="K250" s="2"/>
    </row>
    <row r="251" spans="8:11">
      <c r="H251" s="2"/>
      <c r="I251" s="2"/>
      <c r="J251" s="2"/>
      <c r="K251" s="2"/>
    </row>
    <row r="252" spans="8:11">
      <c r="H252" s="2"/>
      <c r="I252" s="2"/>
      <c r="J252" s="2"/>
      <c r="K252" s="2"/>
    </row>
    <row r="253" spans="8:11">
      <c r="H253" s="2"/>
      <c r="I253" s="2"/>
      <c r="J253" s="2"/>
      <c r="K253" s="2"/>
    </row>
    <row r="254" spans="8:11">
      <c r="H254" s="2"/>
      <c r="I254" s="2"/>
      <c r="J254" s="2"/>
      <c r="K254" s="2"/>
    </row>
    <row r="256" spans="8:11" ht="15">
      <c r="H256" s="39" t="s">
        <v>444</v>
      </c>
      <c r="I256" s="39"/>
      <c r="J256" s="39"/>
      <c r="K256" s="39"/>
    </row>
    <row r="257" spans="8:11" ht="15">
      <c r="H257" s="39" t="s">
        <v>445</v>
      </c>
      <c r="I257" s="39">
        <v>0</v>
      </c>
      <c r="J257" s="39" t="s">
        <v>442</v>
      </c>
      <c r="K257" s="39">
        <v>1917</v>
      </c>
    </row>
    <row r="258" spans="8:11">
      <c r="H258" s="2" t="s">
        <v>446</v>
      </c>
      <c r="I258" s="2">
        <v>1081</v>
      </c>
      <c r="J258" s="2" t="s">
        <v>447</v>
      </c>
      <c r="K258" s="2">
        <v>778</v>
      </c>
    </row>
    <row r="259" spans="8:11">
      <c r="H259" s="2" t="s">
        <v>249</v>
      </c>
      <c r="I259" s="2">
        <v>58</v>
      </c>
      <c r="J259" s="2" t="s">
        <v>448</v>
      </c>
      <c r="K259" s="2">
        <v>587</v>
      </c>
    </row>
    <row r="260" spans="8:11" ht="28.5">
      <c r="H260" s="2" t="s">
        <v>449</v>
      </c>
      <c r="I260" s="2" t="s">
        <v>450</v>
      </c>
      <c r="J260" s="2" t="s">
        <v>451</v>
      </c>
      <c r="K260" s="2" t="s">
        <v>452</v>
      </c>
    </row>
    <row r="261" spans="8:11">
      <c r="H261" s="2" t="s">
        <v>127</v>
      </c>
      <c r="I261" s="2" t="s">
        <v>453</v>
      </c>
      <c r="J261" s="2" t="s">
        <v>454</v>
      </c>
      <c r="K261" s="2" t="s">
        <v>455</v>
      </c>
    </row>
    <row r="262" spans="8:11">
      <c r="H262" s="2" t="s">
        <v>456</v>
      </c>
      <c r="I262" s="2" t="s">
        <v>457</v>
      </c>
      <c r="J262" s="2" t="s">
        <v>458</v>
      </c>
      <c r="K262" s="2" t="s">
        <v>459</v>
      </c>
    </row>
    <row r="263" spans="8:11">
      <c r="H263" s="2" t="s">
        <v>460</v>
      </c>
      <c r="I263" s="2" t="s">
        <v>461</v>
      </c>
      <c r="J263" s="2" t="s">
        <v>462</v>
      </c>
      <c r="K263" s="2" t="s">
        <v>463</v>
      </c>
    </row>
    <row r="264" spans="8:11">
      <c r="H264" s="2"/>
      <c r="I264" s="2"/>
      <c r="J264" s="2"/>
      <c r="K264" s="2"/>
    </row>
    <row r="265" spans="8:11">
      <c r="H265" s="2"/>
      <c r="I265" s="2"/>
      <c r="J265" s="2"/>
      <c r="K265" s="2"/>
    </row>
    <row r="266" spans="8:11">
      <c r="H266" s="2"/>
      <c r="I266" s="2"/>
      <c r="J266" s="2"/>
      <c r="K266" s="2"/>
    </row>
    <row r="268" spans="8:11" ht="15">
      <c r="H268" s="42" t="s">
        <v>464</v>
      </c>
      <c r="I268" s="42"/>
      <c r="J268" s="42"/>
      <c r="K268" s="42"/>
    </row>
    <row r="269" spans="8:11" ht="15">
      <c r="H269" s="42" t="s">
        <v>465</v>
      </c>
      <c r="I269" s="42">
        <v>0</v>
      </c>
      <c r="J269" s="42" t="s">
        <v>466</v>
      </c>
      <c r="K269" s="42">
        <v>403</v>
      </c>
    </row>
    <row r="270" spans="8:11">
      <c r="H270" s="2" t="s">
        <v>467</v>
      </c>
      <c r="I270" s="2">
        <v>62</v>
      </c>
      <c r="J270" s="2" t="s">
        <v>442</v>
      </c>
      <c r="K270" s="2">
        <v>1917</v>
      </c>
    </row>
    <row r="271" spans="8:11" ht="28.5">
      <c r="H271" s="2" t="s">
        <v>52</v>
      </c>
      <c r="I271" s="2" t="s">
        <v>468</v>
      </c>
      <c r="J271" s="2" t="s">
        <v>469</v>
      </c>
      <c r="K271" s="2" t="s">
        <v>470</v>
      </c>
    </row>
    <row r="272" spans="8:11" ht="28.5">
      <c r="H272" s="2" t="s">
        <v>471</v>
      </c>
      <c r="I272" s="2" t="s">
        <v>472</v>
      </c>
      <c r="J272" s="2" t="s">
        <v>473</v>
      </c>
      <c r="K272" s="2" t="s">
        <v>474</v>
      </c>
    </row>
    <row r="273" spans="8:11">
      <c r="H273" s="2" t="s">
        <v>456</v>
      </c>
      <c r="I273" s="2" t="s">
        <v>475</v>
      </c>
      <c r="J273" s="2" t="s">
        <v>476</v>
      </c>
      <c r="K273" s="2" t="s">
        <v>477</v>
      </c>
    </row>
    <row r="274" spans="8:11">
      <c r="H274" s="2"/>
      <c r="I274" s="2"/>
      <c r="J274" s="2"/>
      <c r="K274" s="2"/>
    </row>
    <row r="275" spans="8:11">
      <c r="H275" s="2"/>
      <c r="I275" s="2"/>
      <c r="J275" s="2"/>
      <c r="K275" s="2"/>
    </row>
    <row r="276" spans="8:11">
      <c r="H276" s="2"/>
      <c r="I276" s="2"/>
      <c r="J276" s="2"/>
      <c r="K276" s="2"/>
    </row>
    <row r="277" spans="8:11">
      <c r="H277" s="2"/>
      <c r="I277" s="2"/>
      <c r="J277" s="2"/>
      <c r="K277" s="2"/>
    </row>
    <row r="278" spans="8:11">
      <c r="H278" s="2"/>
      <c r="I278" s="2"/>
      <c r="J278" s="2"/>
      <c r="K278" s="2"/>
    </row>
    <row r="294" spans="8:11" ht="30">
      <c r="H294" s="56" t="s">
        <v>478</v>
      </c>
      <c r="I294" s="56"/>
      <c r="J294" s="56"/>
      <c r="K294" s="56"/>
    </row>
    <row r="295" spans="8:11" ht="15">
      <c r="H295" s="56" t="s">
        <v>479</v>
      </c>
      <c r="I295" s="56">
        <v>30</v>
      </c>
      <c r="J295" s="56" t="s">
        <v>480</v>
      </c>
      <c r="K295" s="56">
        <v>26</v>
      </c>
    </row>
    <row r="296" spans="8:11">
      <c r="H296" s="2" t="s">
        <v>481</v>
      </c>
      <c r="I296" s="2">
        <v>17</v>
      </c>
      <c r="J296" s="2" t="s">
        <v>442</v>
      </c>
      <c r="K296" s="2">
        <v>1973</v>
      </c>
    </row>
    <row r="297" spans="8:11">
      <c r="H297" s="2" t="s">
        <v>482</v>
      </c>
      <c r="I297" s="2" t="s">
        <v>483</v>
      </c>
      <c r="J297" s="2" t="s">
        <v>484</v>
      </c>
      <c r="K297" s="2" t="s">
        <v>485</v>
      </c>
    </row>
    <row r="298" spans="8:11">
      <c r="H298" s="2" t="s">
        <v>107</v>
      </c>
      <c r="I298" s="2" t="s">
        <v>486</v>
      </c>
      <c r="J298" s="2" t="s">
        <v>487</v>
      </c>
      <c r="K298" s="2" t="s">
        <v>488</v>
      </c>
    </row>
    <row r="299" spans="8:11">
      <c r="H299" s="2" t="s">
        <v>489</v>
      </c>
      <c r="I299" s="2" t="s">
        <v>490</v>
      </c>
      <c r="J299" s="2" t="s">
        <v>491</v>
      </c>
      <c r="K299" s="2" t="s">
        <v>492</v>
      </c>
    </row>
    <row r="300" spans="8:11">
      <c r="H300" s="2" t="s">
        <v>493</v>
      </c>
      <c r="I300" s="2" t="s">
        <v>494</v>
      </c>
      <c r="J300" s="2" t="s">
        <v>495</v>
      </c>
      <c r="K300" s="2" t="s">
        <v>496</v>
      </c>
    </row>
    <row r="301" spans="8:11">
      <c r="H301" s="2" t="s">
        <v>497</v>
      </c>
      <c r="I301" s="2" t="s">
        <v>498</v>
      </c>
      <c r="J301" s="2" t="s">
        <v>499</v>
      </c>
      <c r="K301" s="2" t="s">
        <v>500</v>
      </c>
    </row>
    <row r="302" spans="8:11">
      <c r="H302" s="2" t="s">
        <v>501</v>
      </c>
      <c r="I302" s="2" t="s">
        <v>502</v>
      </c>
      <c r="J302" s="2" t="s">
        <v>503</v>
      </c>
      <c r="K302" s="2" t="s">
        <v>474</v>
      </c>
    </row>
    <row r="303" spans="8:11">
      <c r="H303" s="2" t="s">
        <v>127</v>
      </c>
      <c r="I303" s="2" t="s">
        <v>504</v>
      </c>
      <c r="J303" s="2" t="s">
        <v>505</v>
      </c>
      <c r="K303" s="2" t="s">
        <v>506</v>
      </c>
    </row>
    <row r="304" spans="8:11">
      <c r="H304" s="2"/>
      <c r="I304" s="2"/>
      <c r="J304" s="2"/>
      <c r="K304" s="2"/>
    </row>
    <row r="305" spans="8:11">
      <c r="H305" s="2"/>
      <c r="I305" s="2"/>
      <c r="J305" s="2"/>
      <c r="K305" s="2"/>
    </row>
    <row r="306" spans="8:11">
      <c r="H306" s="2"/>
      <c r="I306" s="2"/>
      <c r="J306" s="2"/>
      <c r="K306" s="2"/>
    </row>
    <row r="307" spans="8:11">
      <c r="H307" s="2"/>
      <c r="I307" s="2"/>
      <c r="J307" s="2"/>
      <c r="K307" s="2"/>
    </row>
    <row r="308" spans="8:11">
      <c r="H308" s="2"/>
      <c r="I308" s="2"/>
      <c r="J308" s="2"/>
      <c r="K308" s="2"/>
    </row>
    <row r="309" spans="8:11">
      <c r="H309" s="2"/>
      <c r="I309" s="2"/>
      <c r="J309" s="2"/>
      <c r="K309" s="2"/>
    </row>
    <row r="312" spans="8:11" ht="30">
      <c r="H312" s="68" t="s">
        <v>507</v>
      </c>
      <c r="I312" s="68"/>
      <c r="J312" s="68"/>
      <c r="K312" s="68"/>
    </row>
    <row r="313" spans="8:11" ht="15">
      <c r="H313" s="68" t="s">
        <v>508</v>
      </c>
      <c r="I313" s="68">
        <v>67</v>
      </c>
      <c r="J313" s="68" t="s">
        <v>442</v>
      </c>
      <c r="K313" s="68">
        <v>2040</v>
      </c>
    </row>
    <row r="314" spans="8:11">
      <c r="H314" s="2" t="s">
        <v>509</v>
      </c>
      <c r="I314" s="2" t="s">
        <v>510</v>
      </c>
      <c r="J314" s="2" t="s">
        <v>511</v>
      </c>
      <c r="K314" s="2" t="s">
        <v>512</v>
      </c>
    </row>
    <row r="315" spans="8:11">
      <c r="H315" s="2" t="s">
        <v>513</v>
      </c>
      <c r="I315" s="2" t="s">
        <v>514</v>
      </c>
      <c r="J315" s="2" t="s">
        <v>515</v>
      </c>
      <c r="K315" s="2" t="s">
        <v>516</v>
      </c>
    </row>
    <row r="316" spans="8:11">
      <c r="H316" s="2" t="s">
        <v>517</v>
      </c>
      <c r="I316" s="2" t="s">
        <v>518</v>
      </c>
      <c r="J316" s="2" t="s">
        <v>519</v>
      </c>
      <c r="K316" s="2" t="s">
        <v>520</v>
      </c>
    </row>
    <row r="317" spans="8:11" ht="28.5">
      <c r="H317" s="2" t="s">
        <v>521</v>
      </c>
      <c r="I317" s="2" t="s">
        <v>522</v>
      </c>
      <c r="J317" s="2" t="s">
        <v>523</v>
      </c>
      <c r="K317" s="2" t="s">
        <v>302</v>
      </c>
    </row>
    <row r="318" spans="8:11">
      <c r="H318" s="2" t="s">
        <v>524</v>
      </c>
      <c r="I318" s="2" t="s">
        <v>525</v>
      </c>
      <c r="J318" s="2" t="s">
        <v>526</v>
      </c>
      <c r="K318" s="2" t="s">
        <v>527</v>
      </c>
    </row>
    <row r="319" spans="8:11">
      <c r="H319" s="2" t="s">
        <v>528</v>
      </c>
      <c r="I319" s="2" t="s">
        <v>529</v>
      </c>
      <c r="J319" s="2" t="s">
        <v>530</v>
      </c>
      <c r="K319" s="2" t="s">
        <v>531</v>
      </c>
    </row>
    <row r="320" spans="8:11">
      <c r="H320" s="2" t="s">
        <v>532</v>
      </c>
      <c r="I320" s="2" t="s">
        <v>533</v>
      </c>
      <c r="J320" s="2" t="s">
        <v>534</v>
      </c>
      <c r="K320" s="2" t="s">
        <v>535</v>
      </c>
    </row>
    <row r="321" spans="8:11">
      <c r="H321" s="2" t="s">
        <v>536</v>
      </c>
      <c r="I321" s="2" t="s">
        <v>537</v>
      </c>
      <c r="J321" s="2" t="s">
        <v>538</v>
      </c>
      <c r="K321" s="2" t="s">
        <v>539</v>
      </c>
    </row>
    <row r="322" spans="8:11" ht="28.5">
      <c r="H322" s="2" t="s">
        <v>540</v>
      </c>
      <c r="I322" s="2" t="s">
        <v>541</v>
      </c>
      <c r="J322" s="2" t="s">
        <v>542</v>
      </c>
      <c r="K322" s="2" t="s">
        <v>543</v>
      </c>
    </row>
    <row r="323" spans="8:11">
      <c r="H323" s="2" t="s">
        <v>544</v>
      </c>
      <c r="I323" s="2" t="s">
        <v>545</v>
      </c>
      <c r="J323" s="2" t="s">
        <v>546</v>
      </c>
      <c r="K323" s="2" t="s">
        <v>547</v>
      </c>
    </row>
    <row r="324" spans="8:11">
      <c r="H324" s="2" t="s">
        <v>548</v>
      </c>
      <c r="I324" s="2" t="s">
        <v>549</v>
      </c>
      <c r="J324" s="2" t="s">
        <v>550</v>
      </c>
      <c r="K324" s="2" t="s">
        <v>551</v>
      </c>
    </row>
    <row r="325" spans="8:11" ht="28.5">
      <c r="H325" s="2" t="s">
        <v>552</v>
      </c>
      <c r="I325" s="2" t="s">
        <v>553</v>
      </c>
      <c r="J325" s="2" t="s">
        <v>554</v>
      </c>
      <c r="K325" s="2" t="s">
        <v>555</v>
      </c>
    </row>
    <row r="326" spans="8:11">
      <c r="H326" s="2"/>
      <c r="I326" s="2"/>
      <c r="J326" s="2"/>
      <c r="K326" s="2"/>
    </row>
    <row r="327" spans="8:11">
      <c r="H327" s="2"/>
      <c r="I327" s="2"/>
      <c r="J327" s="2"/>
      <c r="K327" s="2"/>
    </row>
    <row r="328" spans="8:11">
      <c r="H328" s="2"/>
      <c r="I328" s="2"/>
      <c r="J328" s="2"/>
      <c r="K328" s="2"/>
    </row>
    <row r="329" spans="8:11">
      <c r="H329" s="2"/>
      <c r="I329" s="2"/>
      <c r="J329" s="2"/>
      <c r="K329" s="2"/>
    </row>
    <row r="331" spans="8:11" ht="30">
      <c r="H331" s="80" t="s">
        <v>556</v>
      </c>
      <c r="I331" s="80"/>
      <c r="J331" s="80"/>
      <c r="K331" s="80"/>
    </row>
    <row r="332" spans="8:11" ht="15">
      <c r="H332" s="80" t="s">
        <v>557</v>
      </c>
      <c r="I332" s="80">
        <v>13</v>
      </c>
      <c r="J332" s="80" t="s">
        <v>558</v>
      </c>
      <c r="K332" s="80">
        <v>15</v>
      </c>
    </row>
    <row r="333" spans="8:11" ht="28.5">
      <c r="H333" s="2" t="s">
        <v>442</v>
      </c>
      <c r="I333" s="2">
        <v>2053</v>
      </c>
      <c r="J333" s="2" t="s">
        <v>559</v>
      </c>
      <c r="K333" s="2" t="s">
        <v>560</v>
      </c>
    </row>
    <row r="334" spans="8:11" ht="28.5">
      <c r="H334" s="2" t="s">
        <v>561</v>
      </c>
      <c r="I334" s="2" t="s">
        <v>562</v>
      </c>
      <c r="J334" s="2" t="s">
        <v>563</v>
      </c>
      <c r="K334" s="2" t="s">
        <v>564</v>
      </c>
    </row>
    <row r="335" spans="8:11" ht="28.5">
      <c r="H335" s="2" t="s">
        <v>565</v>
      </c>
      <c r="I335" s="2" t="s">
        <v>566</v>
      </c>
      <c r="J335" s="2" t="s">
        <v>567</v>
      </c>
      <c r="K335" s="2" t="s">
        <v>568</v>
      </c>
    </row>
    <row r="336" spans="8:11">
      <c r="H336" s="2" t="s">
        <v>127</v>
      </c>
      <c r="I336" s="2" t="s">
        <v>569</v>
      </c>
      <c r="J336" s="2" t="s">
        <v>570</v>
      </c>
      <c r="K336" s="2" t="s">
        <v>571</v>
      </c>
    </row>
    <row r="337" spans="8:11">
      <c r="H337" s="2"/>
      <c r="I337" s="2"/>
      <c r="J337" s="2"/>
      <c r="K337" s="2"/>
    </row>
    <row r="338" spans="8:11">
      <c r="H338" s="2"/>
      <c r="I338" s="2"/>
      <c r="J338" s="2"/>
      <c r="K338" s="2"/>
    </row>
    <row r="339" spans="8:11">
      <c r="H339" s="2"/>
      <c r="I339" s="2"/>
      <c r="J339" s="2"/>
      <c r="K339" s="2"/>
    </row>
    <row r="340" spans="8:11">
      <c r="H340" s="2"/>
      <c r="I340" s="2"/>
      <c r="J340" s="2"/>
      <c r="K340" s="2"/>
    </row>
    <row r="342" spans="8:11" ht="30">
      <c r="H342" s="94" t="s">
        <v>572</v>
      </c>
      <c r="I342" s="94"/>
      <c r="J342" s="94"/>
      <c r="K342" s="94"/>
    </row>
    <row r="343" spans="8:11" ht="15">
      <c r="H343" s="94" t="s">
        <v>557</v>
      </c>
      <c r="I343" s="94">
        <v>9</v>
      </c>
      <c r="J343" s="94" t="s">
        <v>558</v>
      </c>
      <c r="K343" s="94">
        <v>17</v>
      </c>
    </row>
    <row r="344" spans="8:11" ht="28.5">
      <c r="H344" s="2" t="s">
        <v>442</v>
      </c>
      <c r="I344" s="2">
        <v>2062</v>
      </c>
      <c r="J344" s="2" t="s">
        <v>559</v>
      </c>
      <c r="K344" s="2" t="s">
        <v>573</v>
      </c>
    </row>
    <row r="345" spans="8:11">
      <c r="H345" s="2" t="s">
        <v>574</v>
      </c>
      <c r="I345" s="2" t="s">
        <v>575</v>
      </c>
      <c r="J345" s="2" t="s">
        <v>576</v>
      </c>
      <c r="K345" s="2" t="s">
        <v>577</v>
      </c>
    </row>
    <row r="346" spans="8:11">
      <c r="H346" s="2" t="s">
        <v>578</v>
      </c>
      <c r="I346" s="2" t="s">
        <v>579</v>
      </c>
      <c r="J346" s="2" t="s">
        <v>580</v>
      </c>
      <c r="K346" s="2" t="s">
        <v>581</v>
      </c>
    </row>
    <row r="347" spans="8:11">
      <c r="H347" s="2" t="s">
        <v>582</v>
      </c>
      <c r="I347" s="2" t="s">
        <v>583</v>
      </c>
      <c r="J347" s="2" t="s">
        <v>584</v>
      </c>
      <c r="K347" s="2" t="s">
        <v>585</v>
      </c>
    </row>
    <row r="348" spans="8:11" ht="28.5">
      <c r="H348" s="2" t="s">
        <v>586</v>
      </c>
      <c r="I348" s="2" t="s">
        <v>587</v>
      </c>
      <c r="J348" s="2" t="s">
        <v>588</v>
      </c>
      <c r="K348" s="2" t="s">
        <v>589</v>
      </c>
    </row>
    <row r="349" spans="8:11" ht="28.5">
      <c r="H349" s="2" t="s">
        <v>590</v>
      </c>
      <c r="I349" s="2" t="s">
        <v>591</v>
      </c>
      <c r="J349" s="2" t="s">
        <v>592</v>
      </c>
      <c r="K349" s="2" t="s">
        <v>593</v>
      </c>
    </row>
    <row r="350" spans="8:11">
      <c r="H350" s="2" t="s">
        <v>594</v>
      </c>
      <c r="I350" s="2" t="s">
        <v>595</v>
      </c>
      <c r="J350" s="2" t="s">
        <v>596</v>
      </c>
      <c r="K350" s="2" t="s">
        <v>597</v>
      </c>
    </row>
    <row r="351" spans="8:11">
      <c r="H351" s="2" t="s">
        <v>474</v>
      </c>
      <c r="I351" s="2"/>
      <c r="J351" s="2"/>
      <c r="K351" s="2"/>
    </row>
    <row r="352" spans="8:11">
      <c r="H352" s="2"/>
      <c r="I352" s="2"/>
      <c r="J352" s="2"/>
      <c r="K352" s="2"/>
    </row>
    <row r="353" spans="8:11">
      <c r="H353" s="2"/>
      <c r="I353" s="2"/>
      <c r="J353" s="2"/>
      <c r="K353" s="2"/>
    </row>
    <row r="354" spans="8:11">
      <c r="H354" s="2"/>
      <c r="I354" s="2"/>
      <c r="J354" s="2"/>
      <c r="K354" s="2"/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defaultRowHeight="14.25"/>
  <cols>
    <col min="1" max="1" width="34" customWidth="1"/>
    <col min="2" max="2" width="10" customWidth="1"/>
    <col min="3" max="3" width="44" customWidth="1"/>
    <col min="4" max="4" width="12" customWidth="1"/>
    <col min="5" max="5" width="42" customWidth="1"/>
    <col min="6" max="6" width="58" customWidth="1"/>
  </cols>
  <sheetData>
    <row r="1" spans="1:6" ht="21.95" customHeight="1">
      <c r="A1" s="25" t="s">
        <v>598</v>
      </c>
      <c r="B1" s="25" t="s">
        <v>599</v>
      </c>
      <c r="C1" s="25" t="s">
        <v>13</v>
      </c>
      <c r="D1" s="25" t="s">
        <v>3</v>
      </c>
      <c r="E1" s="25" t="s">
        <v>600</v>
      </c>
      <c r="F1" s="25" t="s">
        <v>601</v>
      </c>
    </row>
    <row r="2" spans="1:6" ht="26.1" customHeight="1">
      <c r="A2" s="26" t="s">
        <v>602</v>
      </c>
      <c r="B2" s="28" t="s">
        <v>603</v>
      </c>
      <c r="C2" s="26" t="s">
        <v>604</v>
      </c>
      <c r="D2" s="27" t="s">
        <v>605</v>
      </c>
      <c r="E2" s="26" t="s">
        <v>606</v>
      </c>
      <c r="F2" s="26" t="s">
        <v>607</v>
      </c>
    </row>
    <row r="3" spans="1:6" ht="26.1" customHeight="1">
      <c r="A3" s="26" t="s">
        <v>608</v>
      </c>
      <c r="B3" s="28" t="s">
        <v>603</v>
      </c>
      <c r="C3" s="26" t="s">
        <v>609</v>
      </c>
      <c r="D3" s="27" t="s">
        <v>605</v>
      </c>
      <c r="E3" s="26" t="s">
        <v>610</v>
      </c>
      <c r="F3" s="26" t="s">
        <v>607</v>
      </c>
    </row>
    <row r="4" spans="1:6" ht="26.1" customHeight="1">
      <c r="A4" s="26" t="s">
        <v>611</v>
      </c>
      <c r="B4" s="28" t="s">
        <v>603</v>
      </c>
      <c r="C4" s="26" t="s">
        <v>612</v>
      </c>
      <c r="D4" s="27" t="s">
        <v>605</v>
      </c>
      <c r="E4" s="26" t="s">
        <v>613</v>
      </c>
      <c r="F4" s="26" t="s">
        <v>607</v>
      </c>
    </row>
    <row r="5" spans="1:6" ht="26.1" customHeight="1">
      <c r="A5" s="26" t="s">
        <v>614</v>
      </c>
      <c r="B5" s="29" t="s">
        <v>615</v>
      </c>
      <c r="C5" s="26" t="s">
        <v>616</v>
      </c>
      <c r="D5" s="27" t="s">
        <v>605</v>
      </c>
      <c r="E5" s="26" t="s">
        <v>617</v>
      </c>
      <c r="F5" s="26" t="s">
        <v>607</v>
      </c>
    </row>
    <row r="6" spans="1:6" ht="26.1" customHeight="1">
      <c r="A6" s="26" t="s">
        <v>618</v>
      </c>
      <c r="B6" s="30" t="s">
        <v>619</v>
      </c>
      <c r="C6" s="26" t="s">
        <v>604</v>
      </c>
      <c r="D6" s="27" t="s">
        <v>605</v>
      </c>
      <c r="E6" s="26" t="s">
        <v>620</v>
      </c>
      <c r="F6" s="26" t="s">
        <v>607</v>
      </c>
    </row>
    <row r="7" spans="1:6" ht="26.1" customHeight="1">
      <c r="A7" s="26" t="s">
        <v>621</v>
      </c>
      <c r="B7" s="30" t="s">
        <v>619</v>
      </c>
      <c r="C7" s="26" t="s">
        <v>622</v>
      </c>
      <c r="D7" s="27" t="s">
        <v>605</v>
      </c>
      <c r="E7" s="26" t="s">
        <v>620</v>
      </c>
      <c r="F7" s="26" t="s">
        <v>607</v>
      </c>
    </row>
    <row r="8" spans="1:6" ht="26.1" customHeight="1">
      <c r="A8" s="26" t="s">
        <v>623</v>
      </c>
      <c r="B8" s="30" t="s">
        <v>619</v>
      </c>
      <c r="C8" s="26" t="s">
        <v>624</v>
      </c>
      <c r="D8" s="27" t="s">
        <v>605</v>
      </c>
      <c r="E8" s="26" t="s">
        <v>620</v>
      </c>
      <c r="F8" s="26" t="s">
        <v>607</v>
      </c>
    </row>
    <row r="9" spans="1:6" ht="26.1" customHeight="1">
      <c r="A9" s="26" t="s">
        <v>625</v>
      </c>
      <c r="B9" s="30" t="s">
        <v>619</v>
      </c>
      <c r="C9" s="26" t="s">
        <v>626</v>
      </c>
      <c r="D9" s="27" t="s">
        <v>605</v>
      </c>
      <c r="E9" s="26" t="s">
        <v>620</v>
      </c>
      <c r="F9" s="26" t="s">
        <v>607</v>
      </c>
    </row>
    <row r="10" spans="1:6" ht="26.1" customHeight="1">
      <c r="A10" s="26" t="s">
        <v>627</v>
      </c>
      <c r="B10" s="28" t="s">
        <v>603</v>
      </c>
      <c r="C10" s="26" t="s">
        <v>604</v>
      </c>
      <c r="D10" s="27" t="s">
        <v>605</v>
      </c>
      <c r="E10" s="26" t="s">
        <v>606</v>
      </c>
      <c r="F10" s="26" t="s">
        <v>607</v>
      </c>
    </row>
    <row r="11" spans="1:6" ht="26.1" customHeight="1">
      <c r="A11" s="26" t="s">
        <v>628</v>
      </c>
      <c r="B11" s="29" t="s">
        <v>615</v>
      </c>
      <c r="C11" s="26" t="s">
        <v>629</v>
      </c>
      <c r="D11" s="27" t="s">
        <v>605</v>
      </c>
      <c r="E11" s="26" t="s">
        <v>630</v>
      </c>
      <c r="F11" s="26" t="s">
        <v>607</v>
      </c>
    </row>
    <row r="12" spans="1:6" ht="26.1" customHeight="1">
      <c r="A12" s="26" t="s">
        <v>631</v>
      </c>
      <c r="B12" s="30" t="s">
        <v>619</v>
      </c>
      <c r="C12" s="26" t="s">
        <v>632</v>
      </c>
      <c r="D12" s="27" t="s">
        <v>605</v>
      </c>
      <c r="E12" s="26" t="s">
        <v>620</v>
      </c>
      <c r="F12" s="26" t="s">
        <v>607</v>
      </c>
    </row>
    <row r="14" spans="1:6" ht="15">
      <c r="C14" s="31" t="s">
        <v>633</v>
      </c>
      <c r="D14" s="32" t="str">
        <f>COUNTIF(D2:D12,"☑")&amp;" / "&amp;COUNTA(A2:A12)</f>
        <v>0 / 11</v>
      </c>
    </row>
  </sheetData>
  <conditionalFormatting sqref="B2:B12">
    <cfRule type="expression" dxfId="178" priority="1">
      <formula>B2="A"</formula>
    </cfRule>
    <cfRule type="expression" dxfId="177" priority="2">
      <formula>B2="B"</formula>
    </cfRule>
    <cfRule type="expression" dxfId="176" priority="3">
      <formula>B2="C"</formula>
    </cfRule>
  </conditionalFormatting>
  <conditionalFormatting sqref="D2:D12">
    <cfRule type="expression" dxfId="175" priority="4">
      <formula>D2="☑"</formula>
    </cfRule>
  </conditionalFormatting>
  <dataValidations count="1">
    <dataValidation type="list" sqref="D2:D12" xr:uid="{00000000-0002-0000-0100-000000000000}">
      <formula1>"☐,☑"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4.25"/>
  <cols>
    <col min="1" max="1" width="34" customWidth="1"/>
    <col min="2" max="2" width="10" customWidth="1"/>
    <col min="3" max="3" width="50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81" t="s">
        <v>598</v>
      </c>
      <c r="B1" s="81" t="s">
        <v>599</v>
      </c>
      <c r="C1" s="81" t="s">
        <v>13</v>
      </c>
      <c r="D1" s="81" t="s">
        <v>3</v>
      </c>
      <c r="E1" s="81" t="s">
        <v>600</v>
      </c>
      <c r="F1" s="81" t="s">
        <v>601</v>
      </c>
    </row>
    <row r="2" spans="1:6" ht="27.95" customHeight="1">
      <c r="A2" s="82" t="s">
        <v>634</v>
      </c>
      <c r="B2" s="84" t="s">
        <v>603</v>
      </c>
      <c r="C2" s="82" t="s">
        <v>635</v>
      </c>
      <c r="D2" s="83" t="s">
        <v>605</v>
      </c>
      <c r="E2" s="82" t="s">
        <v>636</v>
      </c>
      <c r="F2" s="82" t="s">
        <v>637</v>
      </c>
    </row>
    <row r="3" spans="1:6" ht="27.95" customHeight="1">
      <c r="A3" s="82" t="s">
        <v>638</v>
      </c>
      <c r="B3" s="85" t="s">
        <v>619</v>
      </c>
      <c r="C3" s="82" t="s">
        <v>400</v>
      </c>
      <c r="D3" s="83" t="s">
        <v>605</v>
      </c>
      <c r="E3" s="82" t="s">
        <v>620</v>
      </c>
      <c r="F3" s="82" t="s">
        <v>607</v>
      </c>
    </row>
    <row r="4" spans="1:6" ht="27.95" customHeight="1">
      <c r="A4" s="82" t="s">
        <v>639</v>
      </c>
      <c r="B4" s="84" t="s">
        <v>603</v>
      </c>
      <c r="C4" s="82" t="s">
        <v>640</v>
      </c>
      <c r="D4" s="83" t="s">
        <v>605</v>
      </c>
      <c r="E4" s="82" t="s">
        <v>641</v>
      </c>
      <c r="F4" s="82" t="s">
        <v>642</v>
      </c>
    </row>
    <row r="5" spans="1:6" ht="27.95" customHeight="1">
      <c r="A5" s="82" t="s">
        <v>643</v>
      </c>
      <c r="B5" s="85" t="s">
        <v>619</v>
      </c>
      <c r="C5" s="82" t="s">
        <v>604</v>
      </c>
      <c r="D5" s="83" t="s">
        <v>605</v>
      </c>
      <c r="E5" s="82" t="s">
        <v>620</v>
      </c>
      <c r="F5" s="82" t="s">
        <v>607</v>
      </c>
    </row>
    <row r="6" spans="1:6" ht="27.95" customHeight="1">
      <c r="A6" s="82" t="s">
        <v>644</v>
      </c>
      <c r="B6" s="84" t="s">
        <v>603</v>
      </c>
      <c r="C6" s="82" t="s">
        <v>645</v>
      </c>
      <c r="D6" s="83" t="s">
        <v>605</v>
      </c>
      <c r="E6" s="82" t="s">
        <v>606</v>
      </c>
      <c r="F6" s="82" t="s">
        <v>607</v>
      </c>
    </row>
    <row r="7" spans="1:6" ht="27.95" customHeight="1">
      <c r="A7" s="82" t="s">
        <v>646</v>
      </c>
      <c r="B7" s="84" t="s">
        <v>603</v>
      </c>
      <c r="C7" s="82" t="s">
        <v>647</v>
      </c>
      <c r="D7" s="83" t="s">
        <v>605</v>
      </c>
      <c r="E7" s="82" t="s">
        <v>648</v>
      </c>
      <c r="F7" s="82" t="s">
        <v>607</v>
      </c>
    </row>
    <row r="8" spans="1:6" ht="27.95" customHeight="1">
      <c r="A8" s="82" t="s">
        <v>649</v>
      </c>
      <c r="B8" s="85" t="s">
        <v>619</v>
      </c>
      <c r="C8" s="82" t="s">
        <v>650</v>
      </c>
      <c r="D8" s="83" t="s">
        <v>605</v>
      </c>
      <c r="E8" s="82" t="s">
        <v>651</v>
      </c>
      <c r="F8" s="82" t="s">
        <v>607</v>
      </c>
    </row>
    <row r="9" spans="1:6" ht="27.95" customHeight="1">
      <c r="A9" s="82" t="s">
        <v>652</v>
      </c>
      <c r="B9" s="86" t="s">
        <v>615</v>
      </c>
      <c r="C9" s="82" t="s">
        <v>653</v>
      </c>
      <c r="D9" s="83" t="s">
        <v>605</v>
      </c>
      <c r="E9" s="82" t="s">
        <v>617</v>
      </c>
      <c r="F9" s="82" t="s">
        <v>607</v>
      </c>
    </row>
    <row r="10" spans="1:6" ht="15">
      <c r="C10" s="49"/>
      <c r="D10" s="50"/>
    </row>
    <row r="11" spans="1:6" ht="15">
      <c r="C11" s="88" t="s">
        <v>633</v>
      </c>
      <c r="D11" s="89" t="str">
        <f>COUNTIF(D2:D9,"☑")&amp;" / "&amp;COUNTA(A2:A9)</f>
        <v>0 / 8</v>
      </c>
    </row>
  </sheetData>
  <conditionalFormatting sqref="B2:B8">
    <cfRule type="expression" dxfId="174" priority="1">
      <formula>B2="A"</formula>
    </cfRule>
    <cfRule type="expression" dxfId="173" priority="2">
      <formula>B2="B"</formula>
    </cfRule>
    <cfRule type="expression" dxfId="172" priority="3">
      <formula>B2="C"</formula>
    </cfRule>
  </conditionalFormatting>
  <conditionalFormatting sqref="D2:D8">
    <cfRule type="expression" dxfId="171" priority="4">
      <formula>D2="☑"</formula>
    </cfRule>
  </conditionalFormatting>
  <conditionalFormatting sqref="D2:D9">
    <cfRule type="expression" dxfId="170" priority="5">
      <formula>D2="☑"</formula>
    </cfRule>
  </conditionalFormatting>
  <dataValidations count="1">
    <dataValidation type="list" sqref="D2:D9" xr:uid="{00000000-0002-0000-0200-000000000000}">
      <formula1>"☐,☑"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/>
  </sheetViews>
  <sheetFormatPr defaultRowHeight="14.25"/>
  <cols>
    <col min="1" max="1" width="34" customWidth="1"/>
    <col min="2" max="2" width="10" customWidth="1"/>
    <col min="3" max="3" width="44" customWidth="1"/>
    <col min="4" max="4" width="12" customWidth="1"/>
    <col min="5" max="5" width="42" customWidth="1"/>
    <col min="6" max="6" width="58" customWidth="1"/>
  </cols>
  <sheetData>
    <row r="1" spans="1:6" ht="21.95" customHeight="1">
      <c r="A1" s="57" t="s">
        <v>598</v>
      </c>
      <c r="B1" s="57" t="s">
        <v>599</v>
      </c>
      <c r="C1" s="57" t="s">
        <v>13</v>
      </c>
      <c r="D1" s="57" t="s">
        <v>3</v>
      </c>
      <c r="E1" s="57" t="s">
        <v>600</v>
      </c>
      <c r="F1" s="57" t="s">
        <v>601</v>
      </c>
    </row>
    <row r="2" spans="1:6" ht="26.1" customHeight="1">
      <c r="A2" s="58" t="s">
        <v>654</v>
      </c>
      <c r="B2" s="60" t="s">
        <v>603</v>
      </c>
      <c r="C2" s="58" t="s">
        <v>655</v>
      </c>
      <c r="D2" s="59" t="s">
        <v>605</v>
      </c>
      <c r="E2" s="58" t="s">
        <v>610</v>
      </c>
      <c r="F2" s="58" t="s">
        <v>607</v>
      </c>
    </row>
    <row r="3" spans="1:6" ht="26.1" customHeight="1">
      <c r="A3" s="58" t="s">
        <v>656</v>
      </c>
      <c r="B3" s="61" t="s">
        <v>619</v>
      </c>
      <c r="C3" s="58" t="s">
        <v>330</v>
      </c>
      <c r="D3" s="59" t="s">
        <v>605</v>
      </c>
      <c r="E3" s="58" t="s">
        <v>620</v>
      </c>
      <c r="F3" s="58" t="s">
        <v>607</v>
      </c>
    </row>
    <row r="4" spans="1:6" ht="26.1" customHeight="1">
      <c r="A4" s="58" t="s">
        <v>657</v>
      </c>
      <c r="B4" s="60" t="s">
        <v>603</v>
      </c>
      <c r="C4" s="58" t="s">
        <v>658</v>
      </c>
      <c r="D4" s="59" t="s">
        <v>605</v>
      </c>
      <c r="E4" s="58" t="s">
        <v>659</v>
      </c>
      <c r="F4" s="58" t="s">
        <v>637</v>
      </c>
    </row>
    <row r="5" spans="1:6" ht="26.1" customHeight="1">
      <c r="A5" s="58" t="s">
        <v>660</v>
      </c>
      <c r="B5" s="60" t="s">
        <v>603</v>
      </c>
      <c r="C5" s="58" t="s">
        <v>609</v>
      </c>
      <c r="D5" s="59" t="s">
        <v>605</v>
      </c>
      <c r="E5" s="58" t="s">
        <v>606</v>
      </c>
      <c r="F5" s="58" t="s">
        <v>607</v>
      </c>
    </row>
    <row r="6" spans="1:6" ht="26.1" customHeight="1">
      <c r="A6" s="58" t="s">
        <v>661</v>
      </c>
      <c r="B6" s="60" t="s">
        <v>603</v>
      </c>
      <c r="C6" s="58" t="s">
        <v>609</v>
      </c>
      <c r="D6" s="59" t="s">
        <v>605</v>
      </c>
      <c r="E6" s="58" t="s">
        <v>662</v>
      </c>
      <c r="F6" s="58" t="s">
        <v>607</v>
      </c>
    </row>
    <row r="7" spans="1:6" ht="26.1" customHeight="1">
      <c r="A7" s="58" t="s">
        <v>663</v>
      </c>
      <c r="B7" s="61" t="s">
        <v>619</v>
      </c>
      <c r="C7" s="58" t="s">
        <v>632</v>
      </c>
      <c r="D7" s="59" t="s">
        <v>605</v>
      </c>
      <c r="E7" s="58" t="s">
        <v>620</v>
      </c>
      <c r="F7" s="58" t="s">
        <v>607</v>
      </c>
    </row>
    <row r="8" spans="1:6" ht="26.1" customHeight="1">
      <c r="A8" s="58" t="s">
        <v>664</v>
      </c>
      <c r="B8" s="60" t="s">
        <v>603</v>
      </c>
      <c r="C8" s="58" t="s">
        <v>665</v>
      </c>
      <c r="D8" s="59" t="s">
        <v>605</v>
      </c>
      <c r="E8" s="58" t="s">
        <v>606</v>
      </c>
      <c r="F8" s="58" t="s">
        <v>607</v>
      </c>
    </row>
    <row r="9" spans="1:6" ht="26.1" customHeight="1">
      <c r="A9" s="58" t="s">
        <v>666</v>
      </c>
      <c r="B9" s="62" t="s">
        <v>615</v>
      </c>
      <c r="C9" s="58" t="s">
        <v>650</v>
      </c>
      <c r="D9" s="59" t="s">
        <v>605</v>
      </c>
      <c r="E9" s="58" t="s">
        <v>667</v>
      </c>
      <c r="F9" s="58" t="s">
        <v>607</v>
      </c>
    </row>
    <row r="10" spans="1:6" ht="26.1" customHeight="1">
      <c r="A10" s="58" t="s">
        <v>668</v>
      </c>
      <c r="B10" s="61" t="s">
        <v>619</v>
      </c>
      <c r="C10" s="58" t="s">
        <v>650</v>
      </c>
      <c r="D10" s="59" t="s">
        <v>605</v>
      </c>
      <c r="E10" s="58" t="s">
        <v>651</v>
      </c>
      <c r="F10" s="58" t="s">
        <v>607</v>
      </c>
    </row>
    <row r="11" spans="1:6" ht="15">
      <c r="C11" s="31"/>
      <c r="D11" s="32"/>
    </row>
    <row r="12" spans="1:6" ht="15">
      <c r="C12" s="63" t="s">
        <v>633</v>
      </c>
      <c r="D12" s="63" t="str">
        <f>COUNTIF(D2:D10,"☑")&amp;" / "&amp;COUNTA(A2:A10)</f>
        <v>0 / 9</v>
      </c>
    </row>
  </sheetData>
  <conditionalFormatting sqref="B2:B9">
    <cfRule type="expression" dxfId="169" priority="1">
      <formula>B2="A"</formula>
    </cfRule>
    <cfRule type="expression" dxfId="168" priority="2">
      <formula>B2="B"</formula>
    </cfRule>
    <cfRule type="expression" dxfId="167" priority="3">
      <formula>B2="C"</formula>
    </cfRule>
  </conditionalFormatting>
  <conditionalFormatting sqref="D2:D10">
    <cfRule type="expression" dxfId="166" priority="4">
      <formula>D2="☑"</formula>
    </cfRule>
  </conditionalFormatting>
  <dataValidations count="1">
    <dataValidation type="list" sqref="D2:D10" xr:uid="{00000000-0002-0000-0300-000000000000}">
      <formula1>"☐,☑"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/>
  </sheetViews>
  <sheetFormatPr defaultRowHeight="14.25"/>
  <cols>
    <col min="1" max="1" width="34" customWidth="1"/>
    <col min="2" max="2" width="10" customWidth="1"/>
    <col min="3" max="3" width="44" customWidth="1"/>
    <col min="4" max="4" width="12" customWidth="1"/>
    <col min="5" max="5" width="42" customWidth="1"/>
    <col min="6" max="6" width="58" customWidth="1"/>
  </cols>
  <sheetData>
    <row r="1" spans="1:6" ht="21.95" customHeight="1">
      <c r="A1" s="57" t="s">
        <v>598</v>
      </c>
      <c r="B1" s="57" t="s">
        <v>599</v>
      </c>
      <c r="C1" s="57" t="s">
        <v>13</v>
      </c>
      <c r="D1" s="57" t="s">
        <v>3</v>
      </c>
      <c r="E1" s="57" t="s">
        <v>600</v>
      </c>
      <c r="F1" s="57" t="s">
        <v>601</v>
      </c>
    </row>
    <row r="2" spans="1:6" ht="26.1" customHeight="1">
      <c r="A2" s="58" t="s">
        <v>669</v>
      </c>
      <c r="B2" s="60" t="s">
        <v>603</v>
      </c>
      <c r="C2" s="58" t="s">
        <v>670</v>
      </c>
      <c r="D2" s="59" t="s">
        <v>605</v>
      </c>
      <c r="E2" s="58" t="s">
        <v>606</v>
      </c>
      <c r="F2" s="58" t="s">
        <v>607</v>
      </c>
    </row>
    <row r="3" spans="1:6" ht="26.1" customHeight="1">
      <c r="A3" s="58" t="s">
        <v>671</v>
      </c>
      <c r="B3" s="60" t="s">
        <v>603</v>
      </c>
      <c r="C3" s="58" t="s">
        <v>604</v>
      </c>
      <c r="D3" s="59" t="s">
        <v>605</v>
      </c>
      <c r="E3" s="58" t="s">
        <v>606</v>
      </c>
      <c r="F3" s="58" t="s">
        <v>607</v>
      </c>
    </row>
    <row r="4" spans="1:6" ht="26.1" customHeight="1">
      <c r="A4" s="58" t="s">
        <v>672</v>
      </c>
      <c r="B4" s="60" t="s">
        <v>603</v>
      </c>
      <c r="C4" s="58" t="s">
        <v>673</v>
      </c>
      <c r="D4" s="59" t="s">
        <v>605</v>
      </c>
      <c r="E4" s="58" t="s">
        <v>674</v>
      </c>
      <c r="F4" s="58" t="s">
        <v>637</v>
      </c>
    </row>
    <row r="5" spans="1:6" ht="26.1" customHeight="1">
      <c r="A5" s="58" t="s">
        <v>675</v>
      </c>
      <c r="B5" s="62" t="s">
        <v>615</v>
      </c>
      <c r="C5" s="58" t="s">
        <v>676</v>
      </c>
      <c r="D5" s="59" t="s">
        <v>605</v>
      </c>
      <c r="E5" s="58" t="s">
        <v>617</v>
      </c>
      <c r="F5" s="58" t="s">
        <v>607</v>
      </c>
    </row>
    <row r="6" spans="1:6" ht="26.1" customHeight="1">
      <c r="A6" s="58" t="s">
        <v>677</v>
      </c>
      <c r="B6" s="60" t="s">
        <v>603</v>
      </c>
      <c r="C6" s="58" t="s">
        <v>521</v>
      </c>
      <c r="D6" s="59" t="s">
        <v>605</v>
      </c>
      <c r="E6" s="58" t="s">
        <v>678</v>
      </c>
      <c r="F6" s="58" t="s">
        <v>607</v>
      </c>
    </row>
    <row r="7" spans="1:6" ht="26.1" customHeight="1">
      <c r="A7" s="58" t="s">
        <v>679</v>
      </c>
      <c r="B7" s="60" t="s">
        <v>603</v>
      </c>
      <c r="C7" s="58" t="s">
        <v>604</v>
      </c>
      <c r="D7" s="59" t="s">
        <v>605</v>
      </c>
      <c r="E7" s="58" t="s">
        <v>606</v>
      </c>
      <c r="F7" s="58" t="s">
        <v>607</v>
      </c>
    </row>
    <row r="8" spans="1:6" ht="26.1" customHeight="1">
      <c r="A8" s="58" t="s">
        <v>680</v>
      </c>
      <c r="B8" s="61" t="s">
        <v>619</v>
      </c>
      <c r="C8" s="58" t="s">
        <v>604</v>
      </c>
      <c r="D8" s="59" t="s">
        <v>605</v>
      </c>
      <c r="E8" s="58" t="s">
        <v>620</v>
      </c>
      <c r="F8" s="58" t="s">
        <v>607</v>
      </c>
    </row>
    <row r="9" spans="1:6" ht="26.1" customHeight="1">
      <c r="A9" s="58" t="s">
        <v>681</v>
      </c>
      <c r="B9" s="61" t="s">
        <v>619</v>
      </c>
      <c r="C9" s="58" t="s">
        <v>682</v>
      </c>
      <c r="D9" s="59" t="s">
        <v>605</v>
      </c>
      <c r="E9" s="58" t="s">
        <v>683</v>
      </c>
      <c r="F9" s="58" t="s">
        <v>607</v>
      </c>
    </row>
    <row r="10" spans="1:6" ht="26.1" customHeight="1">
      <c r="A10" s="58" t="s">
        <v>684</v>
      </c>
      <c r="B10" s="61" t="s">
        <v>619</v>
      </c>
      <c r="C10" s="58" t="s">
        <v>682</v>
      </c>
      <c r="D10" s="59" t="s">
        <v>605</v>
      </c>
      <c r="E10" s="58" t="s">
        <v>683</v>
      </c>
      <c r="F10" s="58" t="s">
        <v>607</v>
      </c>
    </row>
    <row r="11" spans="1:6" ht="26.1" customHeight="1">
      <c r="A11" s="58" t="s">
        <v>685</v>
      </c>
      <c r="B11" s="60" t="s">
        <v>603</v>
      </c>
      <c r="C11" s="58" t="s">
        <v>686</v>
      </c>
      <c r="D11" s="59" t="s">
        <v>605</v>
      </c>
      <c r="E11" s="58" t="s">
        <v>606</v>
      </c>
      <c r="F11" s="58" t="s">
        <v>607</v>
      </c>
    </row>
    <row r="12" spans="1:6" ht="26.1" customHeight="1">
      <c r="A12" s="58" t="s">
        <v>687</v>
      </c>
      <c r="B12" s="60" t="s">
        <v>603</v>
      </c>
      <c r="C12" s="58" t="s">
        <v>650</v>
      </c>
      <c r="D12" s="59" t="s">
        <v>605</v>
      </c>
      <c r="E12" s="58" t="s">
        <v>688</v>
      </c>
      <c r="F12" s="58" t="s">
        <v>607</v>
      </c>
    </row>
    <row r="13" spans="1:6" ht="15">
      <c r="C13" s="31"/>
      <c r="D13" s="32"/>
    </row>
    <row r="14" spans="1:6" ht="15">
      <c r="C14" s="63" t="s">
        <v>633</v>
      </c>
      <c r="D14" s="63" t="str">
        <f>COUNTIF(D2:D12,"☑")&amp;" / "&amp;COUNTA(A2:A12)</f>
        <v>0 / 11</v>
      </c>
    </row>
  </sheetData>
  <conditionalFormatting sqref="B2:B11">
    <cfRule type="expression" dxfId="165" priority="1">
      <formula>B2="A"</formula>
    </cfRule>
    <cfRule type="expression" dxfId="164" priority="2">
      <formula>B2="B"</formula>
    </cfRule>
    <cfRule type="expression" dxfId="163" priority="3">
      <formula>B2="C"</formula>
    </cfRule>
  </conditionalFormatting>
  <conditionalFormatting sqref="D2:D12">
    <cfRule type="expression" dxfId="162" priority="4">
      <formula>D2="☑"</formula>
    </cfRule>
  </conditionalFormatting>
  <dataValidations count="1">
    <dataValidation type="list" sqref="D2:D12" xr:uid="{00000000-0002-0000-0400-000000000000}">
      <formula1>"☐,☑"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/>
  </sheetViews>
  <sheetFormatPr defaultRowHeight="14.25"/>
  <cols>
    <col min="1" max="1" width="34" customWidth="1"/>
    <col min="2" max="2" width="10" customWidth="1"/>
    <col min="3" max="3" width="44" customWidth="1"/>
    <col min="4" max="4" width="12" customWidth="1"/>
    <col min="5" max="5" width="42" customWidth="1"/>
    <col min="6" max="6" width="58" customWidth="1"/>
  </cols>
  <sheetData>
    <row r="1" spans="1:6" ht="21.95" customHeight="1">
      <c r="A1" s="57" t="s">
        <v>598</v>
      </c>
      <c r="B1" s="57" t="s">
        <v>599</v>
      </c>
      <c r="C1" s="57" t="s">
        <v>13</v>
      </c>
      <c r="D1" s="57" t="s">
        <v>3</v>
      </c>
      <c r="E1" s="57" t="s">
        <v>600</v>
      </c>
      <c r="F1" s="57" t="s">
        <v>601</v>
      </c>
    </row>
    <row r="2" spans="1:6" ht="26.1" customHeight="1">
      <c r="A2" s="58" t="s">
        <v>689</v>
      </c>
      <c r="B2" s="60" t="s">
        <v>603</v>
      </c>
      <c r="C2" s="58" t="s">
        <v>690</v>
      </c>
      <c r="D2" s="59" t="s">
        <v>605</v>
      </c>
      <c r="E2" s="58" t="s">
        <v>606</v>
      </c>
      <c r="F2" s="58" t="s">
        <v>691</v>
      </c>
    </row>
    <row r="3" spans="1:6" ht="26.1" customHeight="1">
      <c r="A3" s="58" t="s">
        <v>522</v>
      </c>
      <c r="B3" s="60" t="s">
        <v>603</v>
      </c>
      <c r="C3" s="58" t="s">
        <v>692</v>
      </c>
      <c r="D3" s="59" t="s">
        <v>605</v>
      </c>
      <c r="E3" s="58" t="s">
        <v>693</v>
      </c>
      <c r="F3" s="58" t="s">
        <v>637</v>
      </c>
    </row>
    <row r="4" spans="1:6" ht="26.1" customHeight="1">
      <c r="A4" s="58" t="s">
        <v>694</v>
      </c>
      <c r="B4" s="60" t="s">
        <v>603</v>
      </c>
      <c r="C4" s="58" t="s">
        <v>604</v>
      </c>
      <c r="D4" s="59" t="s">
        <v>605</v>
      </c>
      <c r="E4" s="58" t="s">
        <v>606</v>
      </c>
      <c r="F4" s="58" t="s">
        <v>607</v>
      </c>
    </row>
    <row r="5" spans="1:6" ht="26.1" customHeight="1">
      <c r="A5" s="58" t="s">
        <v>695</v>
      </c>
      <c r="B5" s="62" t="s">
        <v>615</v>
      </c>
      <c r="C5" s="58" t="s">
        <v>696</v>
      </c>
      <c r="D5" s="59" t="s">
        <v>605</v>
      </c>
      <c r="E5" s="58" t="s">
        <v>630</v>
      </c>
      <c r="F5" s="58" t="s">
        <v>607</v>
      </c>
    </row>
    <row r="6" spans="1:6" ht="26.1" customHeight="1">
      <c r="A6" s="58" t="s">
        <v>697</v>
      </c>
      <c r="B6" s="60" t="s">
        <v>603</v>
      </c>
      <c r="C6" s="58" t="s">
        <v>653</v>
      </c>
      <c r="D6" s="59" t="s">
        <v>605</v>
      </c>
      <c r="E6" s="58" t="s">
        <v>606</v>
      </c>
      <c r="F6" s="58" t="s">
        <v>607</v>
      </c>
    </row>
    <row r="7" spans="1:6" ht="26.1" customHeight="1">
      <c r="A7" s="58" t="s">
        <v>698</v>
      </c>
      <c r="B7" s="60" t="s">
        <v>603</v>
      </c>
      <c r="C7" s="58" t="s">
        <v>699</v>
      </c>
      <c r="D7" s="59" t="s">
        <v>605</v>
      </c>
      <c r="E7" s="58" t="s">
        <v>606</v>
      </c>
      <c r="F7" s="58" t="s">
        <v>607</v>
      </c>
    </row>
    <row r="8" spans="1:6" ht="26.1" customHeight="1">
      <c r="A8" s="58" t="s">
        <v>700</v>
      </c>
      <c r="B8" s="60" t="s">
        <v>603</v>
      </c>
      <c r="C8" s="58" t="s">
        <v>701</v>
      </c>
      <c r="D8" s="59" t="s">
        <v>605</v>
      </c>
      <c r="E8" s="58" t="s">
        <v>702</v>
      </c>
      <c r="F8" s="58" t="s">
        <v>703</v>
      </c>
    </row>
    <row r="9" spans="1:6" ht="26.1" customHeight="1">
      <c r="A9" s="58" t="s">
        <v>704</v>
      </c>
      <c r="B9" s="60" t="s">
        <v>603</v>
      </c>
      <c r="C9" s="58" t="s">
        <v>626</v>
      </c>
      <c r="D9" s="59" t="s">
        <v>605</v>
      </c>
      <c r="E9" s="58" t="s">
        <v>610</v>
      </c>
      <c r="F9" s="58" t="s">
        <v>607</v>
      </c>
    </row>
    <row r="10" spans="1:6" ht="26.1" customHeight="1">
      <c r="A10" s="58" t="s">
        <v>705</v>
      </c>
      <c r="B10" s="60" t="s">
        <v>603</v>
      </c>
      <c r="C10" s="58" t="s">
        <v>706</v>
      </c>
      <c r="D10" s="59" t="s">
        <v>605</v>
      </c>
      <c r="E10" s="58" t="s">
        <v>707</v>
      </c>
      <c r="F10" s="58" t="s">
        <v>708</v>
      </c>
    </row>
    <row r="11" spans="1:6" ht="26.1" customHeight="1">
      <c r="A11" s="58" t="s">
        <v>709</v>
      </c>
      <c r="B11" s="61" t="s">
        <v>619</v>
      </c>
      <c r="C11" s="58" t="s">
        <v>632</v>
      </c>
      <c r="D11" s="59" t="s">
        <v>605</v>
      </c>
      <c r="E11" s="58" t="s">
        <v>620</v>
      </c>
      <c r="F11" s="58" t="s">
        <v>607</v>
      </c>
    </row>
    <row r="12" spans="1:6" ht="26.1" customHeight="1">
      <c r="A12" s="58" t="s">
        <v>710</v>
      </c>
      <c r="B12" s="60" t="s">
        <v>603</v>
      </c>
      <c r="C12" s="58" t="s">
        <v>650</v>
      </c>
      <c r="D12" s="59" t="s">
        <v>605</v>
      </c>
      <c r="E12" s="58" t="s">
        <v>711</v>
      </c>
      <c r="F12" s="58" t="s">
        <v>607</v>
      </c>
    </row>
    <row r="13" spans="1:6" ht="26.1" customHeight="1">
      <c r="A13" s="58" t="s">
        <v>712</v>
      </c>
      <c r="B13" s="61" t="s">
        <v>619</v>
      </c>
      <c r="C13" s="58" t="s">
        <v>604</v>
      </c>
      <c r="D13" s="59" t="s">
        <v>605</v>
      </c>
      <c r="E13" s="58" t="s">
        <v>620</v>
      </c>
      <c r="F13" s="58" t="s">
        <v>607</v>
      </c>
    </row>
    <row r="14" spans="1:6" ht="26.1" customHeight="1">
      <c r="A14" s="58" t="s">
        <v>713</v>
      </c>
      <c r="B14" s="60" t="s">
        <v>603</v>
      </c>
      <c r="C14" s="58" t="s">
        <v>714</v>
      </c>
      <c r="D14" s="59" t="s">
        <v>605</v>
      </c>
      <c r="E14" s="58" t="s">
        <v>715</v>
      </c>
      <c r="F14" s="58" t="s">
        <v>716</v>
      </c>
    </row>
    <row r="15" spans="1:6" ht="26.1" customHeight="1">
      <c r="A15" s="58" t="s">
        <v>717</v>
      </c>
      <c r="B15" s="60" t="s">
        <v>603</v>
      </c>
      <c r="C15" s="64" t="s">
        <v>609</v>
      </c>
      <c r="D15" s="65" t="s">
        <v>605</v>
      </c>
      <c r="E15" s="58" t="s">
        <v>606</v>
      </c>
      <c r="F15" s="58" t="s">
        <v>607</v>
      </c>
    </row>
    <row r="16" spans="1:6" ht="26.1" customHeight="1">
      <c r="A16" s="58" t="s">
        <v>718</v>
      </c>
      <c r="B16" s="60" t="s">
        <v>603</v>
      </c>
      <c r="C16" s="64" t="s">
        <v>650</v>
      </c>
      <c r="D16" s="65" t="s">
        <v>605</v>
      </c>
      <c r="E16" s="58" t="s">
        <v>688</v>
      </c>
      <c r="F16" s="58" t="s">
        <v>607</v>
      </c>
    </row>
    <row r="17" spans="1:6" ht="26.1" customHeight="1">
      <c r="A17" s="58" t="s">
        <v>719</v>
      </c>
      <c r="B17" s="60" t="s">
        <v>603</v>
      </c>
      <c r="C17" s="66" t="s">
        <v>720</v>
      </c>
      <c r="D17" s="65" t="s">
        <v>605</v>
      </c>
      <c r="E17" s="58" t="s">
        <v>606</v>
      </c>
      <c r="F17" s="58" t="s">
        <v>691</v>
      </c>
    </row>
    <row r="18" spans="1:6" ht="15">
      <c r="C18" s="53"/>
      <c r="D18" s="54"/>
    </row>
    <row r="19" spans="1:6" ht="15">
      <c r="C19" s="63" t="s">
        <v>633</v>
      </c>
      <c r="D19" s="63" t="str">
        <f>COUNTIF(D2:D17,"☑")&amp;" / "&amp;COUNTA(A2:A17)</f>
        <v>0 / 16</v>
      </c>
    </row>
  </sheetData>
  <conditionalFormatting sqref="B2:B13">
    <cfRule type="expression" dxfId="161" priority="1">
      <formula>B2="A"</formula>
    </cfRule>
    <cfRule type="expression" dxfId="160" priority="2">
      <formula>B2="B"</formula>
    </cfRule>
    <cfRule type="expression" dxfId="159" priority="3">
      <formula>B2="C"</formula>
    </cfRule>
  </conditionalFormatting>
  <conditionalFormatting sqref="D2:D17">
    <cfRule type="expression" dxfId="158" priority="4">
      <formula>D2="☑"</formula>
    </cfRule>
  </conditionalFormatting>
  <dataValidations count="1">
    <dataValidation type="list" sqref="D2:D17" xr:uid="{00000000-0002-0000-0500-000000000000}">
      <formula1>"☐,☑"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/>
  </sheetViews>
  <sheetFormatPr defaultRowHeight="14.25"/>
  <cols>
    <col min="1" max="1" width="34" customWidth="1"/>
    <col min="2" max="2" width="10" customWidth="1"/>
    <col min="3" max="3" width="50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81" t="s">
        <v>598</v>
      </c>
      <c r="B1" s="81" t="s">
        <v>599</v>
      </c>
      <c r="C1" s="81" t="s">
        <v>13</v>
      </c>
      <c r="D1" s="81" t="s">
        <v>3</v>
      </c>
      <c r="E1" s="81" t="s">
        <v>600</v>
      </c>
      <c r="F1" s="81" t="s">
        <v>601</v>
      </c>
    </row>
    <row r="2" spans="1:6" ht="27.95" customHeight="1">
      <c r="A2" s="82" t="s">
        <v>721</v>
      </c>
      <c r="B2" s="84" t="s">
        <v>603</v>
      </c>
      <c r="C2" s="82" t="s">
        <v>722</v>
      </c>
      <c r="D2" s="83" t="s">
        <v>605</v>
      </c>
      <c r="E2" s="82" t="s">
        <v>606</v>
      </c>
      <c r="F2" s="82" t="s">
        <v>607</v>
      </c>
    </row>
    <row r="3" spans="1:6" ht="27.95" customHeight="1">
      <c r="A3" s="82" t="s">
        <v>723</v>
      </c>
      <c r="B3" s="85" t="s">
        <v>619</v>
      </c>
      <c r="C3" s="82" t="s">
        <v>724</v>
      </c>
      <c r="D3" s="83" t="s">
        <v>605</v>
      </c>
      <c r="E3" s="82" t="s">
        <v>620</v>
      </c>
      <c r="F3" s="82" t="s">
        <v>607</v>
      </c>
    </row>
    <row r="4" spans="1:6" ht="27.95" customHeight="1">
      <c r="A4" s="82" t="s">
        <v>725</v>
      </c>
      <c r="B4" s="85" t="s">
        <v>619</v>
      </c>
      <c r="C4" s="82" t="s">
        <v>650</v>
      </c>
      <c r="D4" s="83" t="s">
        <v>605</v>
      </c>
      <c r="E4" s="82" t="s">
        <v>651</v>
      </c>
      <c r="F4" s="82" t="s">
        <v>607</v>
      </c>
    </row>
    <row r="5" spans="1:6" ht="27.95" customHeight="1">
      <c r="A5" s="82" t="s">
        <v>726</v>
      </c>
      <c r="B5" s="84" t="s">
        <v>603</v>
      </c>
      <c r="C5" s="82" t="s">
        <v>727</v>
      </c>
      <c r="D5" s="83" t="s">
        <v>605</v>
      </c>
      <c r="E5" s="82" t="s">
        <v>606</v>
      </c>
      <c r="F5" s="82" t="s">
        <v>607</v>
      </c>
    </row>
    <row r="6" spans="1:6" ht="27.95" customHeight="1">
      <c r="A6" s="82" t="s">
        <v>728</v>
      </c>
      <c r="B6" s="84" t="s">
        <v>603</v>
      </c>
      <c r="C6" s="82" t="s">
        <v>629</v>
      </c>
      <c r="D6" s="83" t="s">
        <v>605</v>
      </c>
      <c r="E6" s="82" t="s">
        <v>610</v>
      </c>
      <c r="F6" s="82" t="s">
        <v>607</v>
      </c>
    </row>
    <row r="7" spans="1:6" ht="27.95" customHeight="1">
      <c r="A7" s="82" t="s">
        <v>729</v>
      </c>
      <c r="B7" s="84" t="s">
        <v>603</v>
      </c>
      <c r="C7" s="82" t="s">
        <v>730</v>
      </c>
      <c r="D7" s="83" t="s">
        <v>605</v>
      </c>
      <c r="E7" s="82" t="s">
        <v>731</v>
      </c>
      <c r="F7" s="82" t="s">
        <v>637</v>
      </c>
    </row>
    <row r="8" spans="1:6" ht="27.95" customHeight="1">
      <c r="A8" s="82" t="s">
        <v>732</v>
      </c>
      <c r="B8" s="84" t="s">
        <v>603</v>
      </c>
      <c r="C8" s="82" t="s">
        <v>690</v>
      </c>
      <c r="D8" s="83" t="s">
        <v>605</v>
      </c>
      <c r="E8" s="82" t="s">
        <v>606</v>
      </c>
      <c r="F8" s="82" t="s">
        <v>691</v>
      </c>
    </row>
    <row r="9" spans="1:6" ht="27.95" customHeight="1">
      <c r="A9" s="82" t="s">
        <v>733</v>
      </c>
      <c r="B9" s="84" t="s">
        <v>603</v>
      </c>
      <c r="C9" s="82" t="s">
        <v>734</v>
      </c>
      <c r="D9" s="83" t="s">
        <v>605</v>
      </c>
      <c r="E9" s="82" t="s">
        <v>735</v>
      </c>
      <c r="F9" s="82" t="s">
        <v>736</v>
      </c>
    </row>
    <row r="10" spans="1:6" ht="27.95" customHeight="1">
      <c r="A10" s="82" t="s">
        <v>737</v>
      </c>
      <c r="B10" s="84" t="s">
        <v>603</v>
      </c>
      <c r="C10" s="82" t="s">
        <v>650</v>
      </c>
      <c r="D10" s="83" t="s">
        <v>605</v>
      </c>
      <c r="E10" s="82" t="s">
        <v>738</v>
      </c>
      <c r="F10" s="82" t="s">
        <v>607</v>
      </c>
    </row>
    <row r="11" spans="1:6" ht="27.95" customHeight="1">
      <c r="A11" s="82" t="s">
        <v>739</v>
      </c>
      <c r="B11" s="84" t="s">
        <v>603</v>
      </c>
      <c r="C11" s="82" t="s">
        <v>632</v>
      </c>
      <c r="D11" s="83" t="s">
        <v>605</v>
      </c>
      <c r="E11" s="82" t="s">
        <v>606</v>
      </c>
      <c r="F11" s="82" t="s">
        <v>607</v>
      </c>
    </row>
    <row r="12" spans="1:6" ht="27.95" customHeight="1">
      <c r="A12" s="82" t="s">
        <v>740</v>
      </c>
      <c r="B12" s="84" t="s">
        <v>603</v>
      </c>
      <c r="C12" s="82" t="s">
        <v>741</v>
      </c>
      <c r="D12" s="83" t="s">
        <v>605</v>
      </c>
      <c r="E12" s="82" t="s">
        <v>742</v>
      </c>
      <c r="F12" s="82" t="s">
        <v>743</v>
      </c>
    </row>
    <row r="13" spans="1:6" ht="27.95" customHeight="1">
      <c r="A13" s="82" t="s">
        <v>744</v>
      </c>
      <c r="B13" s="84" t="s">
        <v>603</v>
      </c>
      <c r="C13" s="90" t="s">
        <v>629</v>
      </c>
      <c r="D13" s="91" t="s">
        <v>605</v>
      </c>
      <c r="E13" s="82" t="s">
        <v>610</v>
      </c>
      <c r="F13" s="82" t="s">
        <v>607</v>
      </c>
    </row>
    <row r="14" spans="1:6" ht="27.95" customHeight="1">
      <c r="A14" s="82" t="s">
        <v>745</v>
      </c>
      <c r="B14" s="85" t="s">
        <v>619</v>
      </c>
      <c r="C14" s="92" t="s">
        <v>609</v>
      </c>
      <c r="D14" s="91" t="s">
        <v>605</v>
      </c>
      <c r="E14" s="82" t="s">
        <v>620</v>
      </c>
      <c r="F14" s="82" t="s">
        <v>607</v>
      </c>
    </row>
    <row r="15" spans="1:6" ht="15">
      <c r="C15" s="53"/>
      <c r="D15" s="54"/>
    </row>
    <row r="16" spans="1:6" ht="15">
      <c r="C16" s="88" t="s">
        <v>633</v>
      </c>
      <c r="D16" s="89" t="str">
        <f>COUNTIF(D2:D14,"☑")&amp;" / "&amp;COUNTA(A2:A14)</f>
        <v>0 / 13</v>
      </c>
    </row>
  </sheetData>
  <conditionalFormatting sqref="B2:B11">
    <cfRule type="expression" dxfId="157" priority="1">
      <formula>B2="A"</formula>
    </cfRule>
    <cfRule type="expression" dxfId="156" priority="2">
      <formula>B2="B"</formula>
    </cfRule>
    <cfRule type="expression" dxfId="155" priority="3">
      <formula>B2="C"</formula>
    </cfRule>
  </conditionalFormatting>
  <conditionalFormatting sqref="D2:D13">
    <cfRule type="expression" dxfId="154" priority="4">
      <formula>D2="☑"</formula>
    </cfRule>
  </conditionalFormatting>
  <conditionalFormatting sqref="D2:D14">
    <cfRule type="expression" dxfId="153" priority="8">
      <formula>D2="☑"</formula>
    </cfRule>
  </conditionalFormatting>
  <dataValidations count="1">
    <dataValidation type="list" sqref="D2:D14" xr:uid="{00000000-0002-0000-0600-000000000000}">
      <formula1>"☐,☑"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workbookViewId="0"/>
  </sheetViews>
  <sheetFormatPr defaultRowHeight="14.25"/>
  <cols>
    <col min="1" max="1" width="34" customWidth="1"/>
    <col min="2" max="2" width="10" customWidth="1"/>
    <col min="3" max="3" width="50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81" t="s">
        <v>598</v>
      </c>
      <c r="B1" s="81" t="s">
        <v>599</v>
      </c>
      <c r="C1" s="81" t="s">
        <v>13</v>
      </c>
      <c r="D1" s="81" t="s">
        <v>3</v>
      </c>
      <c r="E1" s="81" t="s">
        <v>600</v>
      </c>
      <c r="F1" s="81" t="s">
        <v>601</v>
      </c>
    </row>
    <row r="2" spans="1:6" ht="27.95" customHeight="1">
      <c r="A2" s="82" t="s">
        <v>433</v>
      </c>
      <c r="B2" s="84" t="s">
        <v>603</v>
      </c>
      <c r="C2" s="82" t="s">
        <v>746</v>
      </c>
      <c r="D2" s="83" t="s">
        <v>605</v>
      </c>
      <c r="E2" s="82" t="s">
        <v>678</v>
      </c>
      <c r="F2" s="82" t="s">
        <v>747</v>
      </c>
    </row>
    <row r="3" spans="1:6" ht="27.95" customHeight="1">
      <c r="A3" s="82" t="s">
        <v>748</v>
      </c>
      <c r="B3" s="84" t="s">
        <v>603</v>
      </c>
      <c r="C3" s="82" t="s">
        <v>749</v>
      </c>
      <c r="D3" s="83" t="s">
        <v>605</v>
      </c>
      <c r="E3" s="82" t="s">
        <v>610</v>
      </c>
      <c r="F3" s="82" t="s">
        <v>607</v>
      </c>
    </row>
    <row r="4" spans="1:6" ht="27.95" customHeight="1">
      <c r="A4" s="82" t="s">
        <v>750</v>
      </c>
      <c r="B4" s="85" t="s">
        <v>619</v>
      </c>
      <c r="C4" s="82" t="s">
        <v>604</v>
      </c>
      <c r="D4" s="83" t="s">
        <v>605</v>
      </c>
      <c r="E4" s="82" t="s">
        <v>620</v>
      </c>
      <c r="F4" s="82" t="s">
        <v>607</v>
      </c>
    </row>
    <row r="5" spans="1:6" ht="27.95" customHeight="1">
      <c r="A5" s="82" t="s">
        <v>751</v>
      </c>
      <c r="B5" s="86" t="s">
        <v>615</v>
      </c>
      <c r="C5" s="82" t="s">
        <v>752</v>
      </c>
      <c r="D5" s="83" t="s">
        <v>605</v>
      </c>
      <c r="E5" s="82" t="s">
        <v>753</v>
      </c>
      <c r="F5" s="82" t="s">
        <v>754</v>
      </c>
    </row>
    <row r="6" spans="1:6" ht="27.95" customHeight="1">
      <c r="A6" s="82" t="s">
        <v>755</v>
      </c>
      <c r="B6" s="84" t="s">
        <v>603</v>
      </c>
      <c r="C6" s="82" t="s">
        <v>756</v>
      </c>
      <c r="D6" s="83" t="s">
        <v>605</v>
      </c>
      <c r="E6" s="82" t="s">
        <v>757</v>
      </c>
      <c r="F6" s="82" t="s">
        <v>637</v>
      </c>
    </row>
    <row r="7" spans="1:6" ht="27.95" customHeight="1">
      <c r="A7" s="82" t="s">
        <v>758</v>
      </c>
      <c r="B7" s="84" t="s">
        <v>603</v>
      </c>
      <c r="C7" s="82" t="s">
        <v>604</v>
      </c>
      <c r="D7" s="83" t="s">
        <v>605</v>
      </c>
      <c r="E7" s="82" t="s">
        <v>606</v>
      </c>
      <c r="F7" s="82" t="s">
        <v>607</v>
      </c>
    </row>
    <row r="8" spans="1:6" ht="27.95" customHeight="1">
      <c r="A8" s="82" t="s">
        <v>759</v>
      </c>
      <c r="B8" s="84" t="s">
        <v>603</v>
      </c>
      <c r="C8" s="82" t="s">
        <v>760</v>
      </c>
      <c r="D8" s="83" t="s">
        <v>605</v>
      </c>
      <c r="E8" s="82" t="s">
        <v>761</v>
      </c>
      <c r="F8" s="82" t="s">
        <v>762</v>
      </c>
    </row>
    <row r="9" spans="1:6" ht="27.95" customHeight="1">
      <c r="A9" s="82" t="s">
        <v>763</v>
      </c>
      <c r="B9" s="86" t="s">
        <v>615</v>
      </c>
      <c r="C9" s="82" t="s">
        <v>764</v>
      </c>
      <c r="D9" s="83" t="s">
        <v>605</v>
      </c>
      <c r="E9" s="82" t="s">
        <v>765</v>
      </c>
      <c r="F9" s="82" t="s">
        <v>766</v>
      </c>
    </row>
    <row r="10" spans="1:6" ht="27.95" customHeight="1">
      <c r="A10" s="82" t="s">
        <v>767</v>
      </c>
      <c r="B10" s="84" t="s">
        <v>603</v>
      </c>
      <c r="C10" s="82" t="s">
        <v>768</v>
      </c>
      <c r="D10" s="83" t="s">
        <v>605</v>
      </c>
      <c r="E10" s="82" t="s">
        <v>715</v>
      </c>
      <c r="F10" s="82" t="s">
        <v>769</v>
      </c>
    </row>
    <row r="11" spans="1:6" ht="27.95" customHeight="1">
      <c r="A11" s="82" t="s">
        <v>770</v>
      </c>
      <c r="B11" s="84" t="s">
        <v>603</v>
      </c>
      <c r="C11" s="82" t="s">
        <v>771</v>
      </c>
      <c r="D11" s="83" t="s">
        <v>605</v>
      </c>
      <c r="E11" s="82" t="s">
        <v>636</v>
      </c>
      <c r="F11" s="82" t="s">
        <v>607</v>
      </c>
    </row>
    <row r="12" spans="1:6" ht="27.95" customHeight="1">
      <c r="A12" s="82" t="s">
        <v>772</v>
      </c>
      <c r="B12" s="84" t="s">
        <v>603</v>
      </c>
      <c r="C12" s="82" t="s">
        <v>773</v>
      </c>
      <c r="D12" s="83" t="s">
        <v>605</v>
      </c>
      <c r="E12" s="82" t="s">
        <v>774</v>
      </c>
      <c r="F12" s="82" t="s">
        <v>637</v>
      </c>
    </row>
    <row r="13" spans="1:6" ht="27.95" customHeight="1">
      <c r="A13" s="82" t="s">
        <v>775</v>
      </c>
      <c r="B13" s="85" t="s">
        <v>619</v>
      </c>
      <c r="C13" s="82" t="s">
        <v>521</v>
      </c>
      <c r="D13" s="83" t="s">
        <v>605</v>
      </c>
      <c r="E13" s="82" t="s">
        <v>620</v>
      </c>
      <c r="F13" s="82" t="s">
        <v>607</v>
      </c>
    </row>
    <row r="14" spans="1:6" ht="27.95" customHeight="1">
      <c r="A14" s="82" t="s">
        <v>776</v>
      </c>
      <c r="B14" s="84" t="s">
        <v>603</v>
      </c>
      <c r="C14" s="82" t="s">
        <v>722</v>
      </c>
      <c r="D14" s="83" t="s">
        <v>605</v>
      </c>
      <c r="E14" s="82" t="s">
        <v>606</v>
      </c>
      <c r="F14" s="82" t="s">
        <v>607</v>
      </c>
    </row>
    <row r="15" spans="1:6" ht="27.95" customHeight="1">
      <c r="A15" s="82" t="s">
        <v>777</v>
      </c>
      <c r="B15" s="84" t="s">
        <v>603</v>
      </c>
      <c r="C15" s="92" t="s">
        <v>604</v>
      </c>
      <c r="D15" s="91" t="s">
        <v>605</v>
      </c>
      <c r="E15" s="82" t="s">
        <v>606</v>
      </c>
      <c r="F15" s="82" t="s">
        <v>607</v>
      </c>
    </row>
    <row r="16" spans="1:6" ht="27.95" customHeight="1">
      <c r="A16" s="82" t="s">
        <v>778</v>
      </c>
      <c r="B16" s="84" t="s">
        <v>603</v>
      </c>
      <c r="C16" s="93" t="s">
        <v>650</v>
      </c>
      <c r="D16" s="83" t="s">
        <v>605</v>
      </c>
      <c r="E16" s="82" t="s">
        <v>688</v>
      </c>
      <c r="F16" s="82" t="s">
        <v>607</v>
      </c>
    </row>
    <row r="17" spans="1:6" ht="27.95" customHeight="1">
      <c r="A17" s="82" t="s">
        <v>779</v>
      </c>
      <c r="B17" s="85" t="s">
        <v>619</v>
      </c>
      <c r="C17" s="93" t="s">
        <v>604</v>
      </c>
      <c r="D17" s="83" t="s">
        <v>605</v>
      </c>
      <c r="E17" s="82" t="s">
        <v>620</v>
      </c>
      <c r="F17" s="82" t="s">
        <v>607</v>
      </c>
    </row>
    <row r="18" spans="1:6" ht="27.95" customHeight="1">
      <c r="A18" s="82" t="s">
        <v>780</v>
      </c>
      <c r="B18" s="84" t="s">
        <v>603</v>
      </c>
      <c r="C18" s="82" t="s">
        <v>781</v>
      </c>
      <c r="D18" s="83" t="s">
        <v>605</v>
      </c>
      <c r="E18" s="82" t="s">
        <v>782</v>
      </c>
      <c r="F18" s="82" t="s">
        <v>637</v>
      </c>
    </row>
    <row r="19" spans="1:6" ht="27.95" customHeight="1">
      <c r="A19" s="82" t="s">
        <v>783</v>
      </c>
      <c r="B19" s="84" t="s">
        <v>603</v>
      </c>
      <c r="C19" s="82" t="s">
        <v>784</v>
      </c>
      <c r="D19" s="83" t="s">
        <v>605</v>
      </c>
      <c r="E19" s="82" t="s">
        <v>606</v>
      </c>
      <c r="F19" s="82" t="s">
        <v>607</v>
      </c>
    </row>
    <row r="20" spans="1:6" ht="15">
      <c r="C20" s="63"/>
      <c r="D20" s="63"/>
    </row>
    <row r="21" spans="1:6" ht="15">
      <c r="C21" s="88" t="s">
        <v>633</v>
      </c>
      <c r="D21" s="89" t="str">
        <f>COUNTIF(D2:D19,"☑")&amp;" / "&amp;COUNTA(A2:A19)</f>
        <v>0 / 18</v>
      </c>
    </row>
  </sheetData>
  <conditionalFormatting sqref="B2:B13">
    <cfRule type="expression" dxfId="152" priority="1">
      <formula>B2="A"</formula>
    </cfRule>
    <cfRule type="expression" dxfId="151" priority="2">
      <formula>B2="B"</formula>
    </cfRule>
    <cfRule type="expression" dxfId="150" priority="3">
      <formula>B2="C"</formula>
    </cfRule>
  </conditionalFormatting>
  <conditionalFormatting sqref="D2:D18">
    <cfRule type="expression" dxfId="149" priority="4">
      <formula>D2="☑"</formula>
    </cfRule>
  </conditionalFormatting>
  <conditionalFormatting sqref="D2:D19">
    <cfRule type="expression" dxfId="148" priority="8">
      <formula>D2="☑"</formula>
    </cfRule>
  </conditionalFormatting>
  <dataValidations count="1">
    <dataValidation type="list" sqref="D2:D19" xr:uid="{00000000-0002-0000-0700-000000000000}">
      <formula1>"☐,☑"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/>
  </sheetViews>
  <sheetFormatPr defaultRowHeight="14.25"/>
  <cols>
    <col min="1" max="1" width="34" customWidth="1"/>
    <col min="2" max="2" width="10" customWidth="1"/>
    <col min="3" max="3" width="44" customWidth="1"/>
    <col min="4" max="4" width="12" customWidth="1"/>
    <col min="5" max="5" width="42" customWidth="1"/>
    <col min="6" max="6" width="58" customWidth="1"/>
  </cols>
  <sheetData>
    <row r="1" spans="1:6" ht="21.95" customHeight="1">
      <c r="A1" s="57" t="s">
        <v>598</v>
      </c>
      <c r="B1" s="57" t="s">
        <v>599</v>
      </c>
      <c r="C1" s="57" t="s">
        <v>13</v>
      </c>
      <c r="D1" s="57" t="s">
        <v>3</v>
      </c>
      <c r="E1" s="57" t="s">
        <v>600</v>
      </c>
      <c r="F1" s="57" t="s">
        <v>601</v>
      </c>
    </row>
    <row r="2" spans="1:6" ht="26.1" customHeight="1">
      <c r="A2" s="58" t="s">
        <v>785</v>
      </c>
      <c r="B2" s="61" t="s">
        <v>619</v>
      </c>
      <c r="C2" s="58" t="s">
        <v>650</v>
      </c>
      <c r="D2" s="59" t="s">
        <v>605</v>
      </c>
      <c r="E2" s="58" t="s">
        <v>651</v>
      </c>
      <c r="F2" s="58" t="s">
        <v>607</v>
      </c>
    </row>
    <row r="3" spans="1:6" ht="26.1" customHeight="1">
      <c r="A3" s="58" t="s">
        <v>786</v>
      </c>
      <c r="B3" s="60" t="s">
        <v>603</v>
      </c>
      <c r="C3" s="58" t="s">
        <v>650</v>
      </c>
      <c r="D3" s="59" t="s">
        <v>605</v>
      </c>
      <c r="E3" s="58" t="s">
        <v>688</v>
      </c>
      <c r="F3" s="58" t="s">
        <v>607</v>
      </c>
    </row>
    <row r="4" spans="1:6" ht="26.1" customHeight="1">
      <c r="A4" s="58" t="s">
        <v>787</v>
      </c>
      <c r="B4" s="60" t="s">
        <v>603</v>
      </c>
      <c r="C4" s="58" t="s">
        <v>788</v>
      </c>
      <c r="D4" s="59" t="s">
        <v>605</v>
      </c>
      <c r="E4" s="58" t="s">
        <v>678</v>
      </c>
      <c r="F4" s="58" t="s">
        <v>789</v>
      </c>
    </row>
    <row r="5" spans="1:6" ht="26.1" customHeight="1">
      <c r="A5" s="58" t="s">
        <v>434</v>
      </c>
      <c r="B5" s="60" t="s">
        <v>603</v>
      </c>
      <c r="C5" s="58" t="s">
        <v>790</v>
      </c>
      <c r="D5" s="59" t="s">
        <v>605</v>
      </c>
      <c r="E5" s="58" t="s">
        <v>610</v>
      </c>
      <c r="F5" s="58" t="s">
        <v>791</v>
      </c>
    </row>
    <row r="6" spans="1:6" ht="26.1" customHeight="1">
      <c r="A6" s="58" t="s">
        <v>792</v>
      </c>
      <c r="B6" s="60" t="s">
        <v>603</v>
      </c>
      <c r="C6" s="58" t="s">
        <v>793</v>
      </c>
      <c r="D6" s="59" t="s">
        <v>605</v>
      </c>
      <c r="E6" s="58" t="s">
        <v>610</v>
      </c>
      <c r="F6" s="58" t="s">
        <v>607</v>
      </c>
    </row>
    <row r="7" spans="1:6" ht="26.1" customHeight="1">
      <c r="A7" s="58" t="s">
        <v>794</v>
      </c>
      <c r="B7" s="60" t="s">
        <v>603</v>
      </c>
      <c r="C7" s="58" t="s">
        <v>795</v>
      </c>
      <c r="D7" s="59" t="s">
        <v>605</v>
      </c>
      <c r="E7" s="58" t="s">
        <v>610</v>
      </c>
      <c r="F7" s="58" t="s">
        <v>607</v>
      </c>
    </row>
    <row r="8" spans="1:6" ht="26.1" customHeight="1">
      <c r="A8" s="58" t="s">
        <v>796</v>
      </c>
      <c r="B8" s="60" t="s">
        <v>603</v>
      </c>
      <c r="C8" s="58" t="s">
        <v>632</v>
      </c>
      <c r="D8" s="59" t="s">
        <v>605</v>
      </c>
      <c r="E8" s="58" t="s">
        <v>606</v>
      </c>
      <c r="F8" s="58" t="s">
        <v>607</v>
      </c>
    </row>
    <row r="9" spans="1:6" ht="26.1" customHeight="1">
      <c r="A9" s="58" t="s">
        <v>797</v>
      </c>
      <c r="B9" s="61" t="s">
        <v>619</v>
      </c>
      <c r="C9" s="58" t="s">
        <v>653</v>
      </c>
      <c r="D9" s="59" t="s">
        <v>605</v>
      </c>
      <c r="E9" s="58" t="s">
        <v>620</v>
      </c>
      <c r="F9" s="58" t="s">
        <v>607</v>
      </c>
    </row>
    <row r="10" spans="1:6" ht="26.1" customHeight="1">
      <c r="A10" s="58" t="s">
        <v>798</v>
      </c>
      <c r="B10" s="60" t="s">
        <v>603</v>
      </c>
      <c r="C10" s="58" t="s">
        <v>727</v>
      </c>
      <c r="D10" s="59" t="s">
        <v>605</v>
      </c>
      <c r="E10" s="58" t="s">
        <v>606</v>
      </c>
      <c r="F10" s="58" t="s">
        <v>607</v>
      </c>
    </row>
    <row r="11" spans="1:6" ht="26.1" customHeight="1">
      <c r="A11" s="58" t="s">
        <v>799</v>
      </c>
      <c r="B11" s="61" t="s">
        <v>619</v>
      </c>
      <c r="C11" s="58" t="s">
        <v>626</v>
      </c>
      <c r="D11" s="59" t="s">
        <v>605</v>
      </c>
      <c r="E11" s="58" t="s">
        <v>620</v>
      </c>
      <c r="F11" s="58" t="s">
        <v>607</v>
      </c>
    </row>
    <row r="12" spans="1:6" ht="26.1" customHeight="1">
      <c r="A12" s="58" t="s">
        <v>800</v>
      </c>
      <c r="B12" s="60" t="s">
        <v>603</v>
      </c>
      <c r="C12" s="58" t="s">
        <v>650</v>
      </c>
      <c r="D12" s="59" t="s">
        <v>605</v>
      </c>
      <c r="E12" s="58" t="s">
        <v>688</v>
      </c>
      <c r="F12" s="58" t="s">
        <v>607</v>
      </c>
    </row>
    <row r="13" spans="1:6" ht="26.1" customHeight="1">
      <c r="A13" s="58" t="s">
        <v>801</v>
      </c>
      <c r="B13" s="60" t="s">
        <v>603</v>
      </c>
      <c r="C13" s="58" t="s">
        <v>609</v>
      </c>
      <c r="D13" s="59" t="s">
        <v>605</v>
      </c>
      <c r="E13" s="58" t="s">
        <v>802</v>
      </c>
      <c r="F13" s="58" t="s">
        <v>607</v>
      </c>
    </row>
    <row r="14" spans="1:6" ht="26.1" customHeight="1">
      <c r="A14" s="58" t="s">
        <v>803</v>
      </c>
      <c r="B14" s="60" t="s">
        <v>603</v>
      </c>
      <c r="C14" s="58" t="s">
        <v>727</v>
      </c>
      <c r="D14" s="59" t="s">
        <v>605</v>
      </c>
      <c r="E14" s="58" t="s">
        <v>804</v>
      </c>
      <c r="F14" s="58" t="s">
        <v>607</v>
      </c>
    </row>
    <row r="15" spans="1:6" ht="26.1" customHeight="1">
      <c r="A15" s="58" t="s">
        <v>805</v>
      </c>
      <c r="B15" s="60" t="s">
        <v>603</v>
      </c>
      <c r="C15" s="64" t="s">
        <v>806</v>
      </c>
      <c r="D15" s="65" t="s">
        <v>605</v>
      </c>
      <c r="E15" s="58" t="s">
        <v>807</v>
      </c>
      <c r="F15" s="58" t="s">
        <v>637</v>
      </c>
    </row>
    <row r="16" spans="1:6" ht="26.1" customHeight="1">
      <c r="A16" s="58" t="s">
        <v>808</v>
      </c>
      <c r="B16" s="60" t="s">
        <v>603</v>
      </c>
      <c r="C16" s="66" t="s">
        <v>720</v>
      </c>
      <c r="D16" s="65" t="s">
        <v>605</v>
      </c>
      <c r="E16" s="58" t="s">
        <v>606</v>
      </c>
      <c r="F16" s="58" t="s">
        <v>691</v>
      </c>
    </row>
    <row r="17" spans="1:6" ht="26.1" customHeight="1">
      <c r="A17" s="58" t="s">
        <v>809</v>
      </c>
      <c r="B17" s="60" t="s">
        <v>603</v>
      </c>
      <c r="C17" s="67" t="s">
        <v>609</v>
      </c>
      <c r="D17" s="59" t="s">
        <v>605</v>
      </c>
      <c r="E17" s="58" t="s">
        <v>606</v>
      </c>
      <c r="F17" s="58" t="s">
        <v>607</v>
      </c>
    </row>
    <row r="18" spans="1:6" ht="15">
      <c r="C18" s="33"/>
      <c r="D18" s="34"/>
    </row>
    <row r="19" spans="1:6" ht="15">
      <c r="C19" s="63" t="s">
        <v>633</v>
      </c>
      <c r="D19" s="63" t="str">
        <f>COUNTIF(D2:D17,"☑")&amp;" / "&amp;COUNTA(A2:A17)</f>
        <v>0 / 16</v>
      </c>
    </row>
  </sheetData>
  <conditionalFormatting sqref="B2:B13">
    <cfRule type="expression" dxfId="147" priority="1">
      <formula>B2="A"</formula>
    </cfRule>
    <cfRule type="expression" dxfId="146" priority="2">
      <formula>B2="B"</formula>
    </cfRule>
    <cfRule type="expression" dxfId="145" priority="3">
      <formula>B2="C"</formula>
    </cfRule>
  </conditionalFormatting>
  <conditionalFormatting sqref="D2:D17">
    <cfRule type="expression" dxfId="144" priority="4">
      <formula>D2="☑"</formula>
    </cfRule>
  </conditionalFormatting>
  <dataValidations count="1">
    <dataValidation type="list" sqref="D2:D17" xr:uid="{00000000-0002-0000-0800-000000000000}">
      <formula1>"☐,☑"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6"/>
  <sheetViews>
    <sheetView workbookViewId="0"/>
  </sheetViews>
  <sheetFormatPr defaultRowHeight="14.25"/>
  <cols>
    <col min="1" max="1" width="34" customWidth="1"/>
    <col min="2" max="2" width="10" customWidth="1"/>
    <col min="3" max="3" width="50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81" t="s">
        <v>598</v>
      </c>
      <c r="B1" s="81" t="s">
        <v>599</v>
      </c>
      <c r="C1" s="81" t="s">
        <v>13</v>
      </c>
      <c r="D1" s="81" t="s">
        <v>3</v>
      </c>
      <c r="E1" s="81" t="s">
        <v>600</v>
      </c>
      <c r="F1" s="81" t="s">
        <v>601</v>
      </c>
    </row>
    <row r="2" spans="1:6" ht="27.95" customHeight="1">
      <c r="A2" s="82" t="s">
        <v>810</v>
      </c>
      <c r="B2" s="84" t="s">
        <v>603</v>
      </c>
      <c r="C2" s="82" t="s">
        <v>811</v>
      </c>
      <c r="D2" s="83" t="s">
        <v>605</v>
      </c>
      <c r="E2" s="82" t="s">
        <v>683</v>
      </c>
      <c r="F2" s="82" t="s">
        <v>607</v>
      </c>
    </row>
    <row r="3" spans="1:6" ht="27.95" customHeight="1">
      <c r="A3" s="82" t="s">
        <v>812</v>
      </c>
      <c r="B3" s="84" t="s">
        <v>603</v>
      </c>
      <c r="C3" s="82" t="s">
        <v>650</v>
      </c>
      <c r="D3" s="83" t="s">
        <v>605</v>
      </c>
      <c r="E3" s="82" t="s">
        <v>688</v>
      </c>
      <c r="F3" s="82" t="s">
        <v>607</v>
      </c>
    </row>
    <row r="4" spans="1:6" ht="27.95" customHeight="1">
      <c r="A4" s="82" t="s">
        <v>813</v>
      </c>
      <c r="B4" s="84" t="s">
        <v>603</v>
      </c>
      <c r="C4" s="82" t="s">
        <v>814</v>
      </c>
      <c r="D4" s="83" t="s">
        <v>605</v>
      </c>
      <c r="E4" s="82" t="s">
        <v>815</v>
      </c>
      <c r="F4" s="82" t="s">
        <v>637</v>
      </c>
    </row>
    <row r="5" spans="1:6" ht="27.95" customHeight="1">
      <c r="A5" s="82" t="s">
        <v>816</v>
      </c>
      <c r="B5" s="84" t="s">
        <v>603</v>
      </c>
      <c r="C5" s="82" t="s">
        <v>632</v>
      </c>
      <c r="D5" s="83" t="s">
        <v>605</v>
      </c>
      <c r="E5" s="82" t="s">
        <v>606</v>
      </c>
      <c r="F5" s="82" t="s">
        <v>607</v>
      </c>
    </row>
    <row r="6" spans="1:6" ht="27.95" customHeight="1">
      <c r="A6" s="82" t="s">
        <v>817</v>
      </c>
      <c r="B6" s="84" t="s">
        <v>603</v>
      </c>
      <c r="C6" s="82" t="s">
        <v>818</v>
      </c>
      <c r="D6" s="83" t="s">
        <v>605</v>
      </c>
      <c r="E6" s="82" t="s">
        <v>804</v>
      </c>
      <c r="F6" s="82" t="s">
        <v>691</v>
      </c>
    </row>
    <row r="7" spans="1:6" ht="27.95" customHeight="1">
      <c r="A7" s="82" t="s">
        <v>819</v>
      </c>
      <c r="B7" s="84" t="s">
        <v>603</v>
      </c>
      <c r="C7" s="82" t="s">
        <v>820</v>
      </c>
      <c r="D7" s="83" t="s">
        <v>605</v>
      </c>
      <c r="E7" s="82" t="s">
        <v>742</v>
      </c>
      <c r="F7" s="82" t="s">
        <v>821</v>
      </c>
    </row>
    <row r="8" spans="1:6" ht="27.95" customHeight="1">
      <c r="A8" s="82" t="s">
        <v>822</v>
      </c>
      <c r="B8" s="84" t="s">
        <v>603</v>
      </c>
      <c r="C8" s="82" t="s">
        <v>823</v>
      </c>
      <c r="D8" s="83" t="s">
        <v>605</v>
      </c>
      <c r="E8" s="82" t="s">
        <v>606</v>
      </c>
      <c r="F8" s="82" t="s">
        <v>607</v>
      </c>
    </row>
    <row r="9" spans="1:6" ht="27.95" customHeight="1">
      <c r="A9" s="82" t="s">
        <v>498</v>
      </c>
      <c r="B9" s="86" t="s">
        <v>615</v>
      </c>
      <c r="C9" s="82" t="s">
        <v>824</v>
      </c>
      <c r="D9" s="83" t="s">
        <v>605</v>
      </c>
      <c r="E9" s="82" t="s">
        <v>825</v>
      </c>
      <c r="F9" s="82" t="s">
        <v>826</v>
      </c>
    </row>
    <row r="10" spans="1:6" ht="27.95" customHeight="1">
      <c r="A10" s="82" t="s">
        <v>576</v>
      </c>
      <c r="B10" s="86" t="s">
        <v>615</v>
      </c>
      <c r="C10" s="82" t="s">
        <v>827</v>
      </c>
      <c r="D10" s="83" t="s">
        <v>605</v>
      </c>
      <c r="E10" s="82" t="s">
        <v>825</v>
      </c>
      <c r="F10" s="82" t="s">
        <v>607</v>
      </c>
    </row>
    <row r="11" spans="1:6" ht="27.95" customHeight="1">
      <c r="A11" s="82" t="s">
        <v>828</v>
      </c>
      <c r="B11" s="85" t="s">
        <v>619</v>
      </c>
      <c r="C11" s="82" t="s">
        <v>829</v>
      </c>
      <c r="D11" s="83" t="s">
        <v>605</v>
      </c>
      <c r="E11" s="82" t="s">
        <v>620</v>
      </c>
      <c r="F11" s="82" t="s">
        <v>607</v>
      </c>
    </row>
    <row r="12" spans="1:6" ht="27.95" customHeight="1">
      <c r="A12" s="82" t="s">
        <v>830</v>
      </c>
      <c r="B12" s="84" t="s">
        <v>603</v>
      </c>
      <c r="C12" s="82" t="s">
        <v>831</v>
      </c>
      <c r="D12" s="83" t="s">
        <v>605</v>
      </c>
      <c r="E12" s="82" t="s">
        <v>610</v>
      </c>
      <c r="F12" s="82" t="s">
        <v>607</v>
      </c>
    </row>
    <row r="13" spans="1:6" ht="27.95" customHeight="1">
      <c r="A13" s="82" t="s">
        <v>832</v>
      </c>
      <c r="B13" s="84" t="s">
        <v>603</v>
      </c>
      <c r="C13" s="82" t="s">
        <v>609</v>
      </c>
      <c r="D13" s="83" t="s">
        <v>605</v>
      </c>
      <c r="E13" s="82" t="s">
        <v>606</v>
      </c>
      <c r="F13" s="82" t="s">
        <v>607</v>
      </c>
    </row>
    <row r="14" spans="1:6" ht="27.95" customHeight="1">
      <c r="A14" s="82" t="s">
        <v>833</v>
      </c>
      <c r="B14" s="84" t="s">
        <v>603</v>
      </c>
      <c r="C14" s="82" t="s">
        <v>834</v>
      </c>
      <c r="D14" s="83" t="s">
        <v>605</v>
      </c>
      <c r="E14" s="82" t="s">
        <v>835</v>
      </c>
      <c r="F14" s="82" t="s">
        <v>836</v>
      </c>
    </row>
    <row r="15" spans="1:6" ht="27.95" customHeight="1">
      <c r="A15" s="82" t="s">
        <v>837</v>
      </c>
      <c r="B15" s="85" t="s">
        <v>619</v>
      </c>
      <c r="C15" s="82" t="s">
        <v>727</v>
      </c>
      <c r="D15" s="83" t="s">
        <v>605</v>
      </c>
      <c r="E15" s="82" t="s">
        <v>620</v>
      </c>
      <c r="F15" s="82" t="s">
        <v>607</v>
      </c>
    </row>
    <row r="16" spans="1:6" ht="27.95" customHeight="1">
      <c r="A16" s="82" t="s">
        <v>838</v>
      </c>
      <c r="B16" s="84" t="s">
        <v>603</v>
      </c>
      <c r="C16" s="82" t="s">
        <v>622</v>
      </c>
      <c r="D16" s="83" t="s">
        <v>605</v>
      </c>
      <c r="E16" s="82" t="s">
        <v>610</v>
      </c>
      <c r="F16" s="82" t="s">
        <v>607</v>
      </c>
    </row>
    <row r="17" spans="1:6" ht="27.95" customHeight="1">
      <c r="A17" s="82" t="s">
        <v>839</v>
      </c>
      <c r="B17" s="84" t="s">
        <v>603</v>
      </c>
      <c r="C17" s="90" t="s">
        <v>840</v>
      </c>
      <c r="D17" s="91" t="s">
        <v>605</v>
      </c>
      <c r="E17" s="82" t="s">
        <v>636</v>
      </c>
      <c r="F17" s="82" t="s">
        <v>637</v>
      </c>
    </row>
    <row r="18" spans="1:6" ht="27.95" customHeight="1">
      <c r="A18" s="82" t="s">
        <v>841</v>
      </c>
      <c r="B18" s="84" t="s">
        <v>603</v>
      </c>
      <c r="C18" s="90" t="s">
        <v>811</v>
      </c>
      <c r="D18" s="91" t="s">
        <v>605</v>
      </c>
      <c r="E18" s="82" t="s">
        <v>683</v>
      </c>
      <c r="F18" s="82" t="s">
        <v>607</v>
      </c>
    </row>
    <row r="19" spans="1:6" ht="27.95" customHeight="1">
      <c r="A19" s="82" t="s">
        <v>842</v>
      </c>
      <c r="B19" s="84" t="s">
        <v>603</v>
      </c>
      <c r="C19" s="92" t="s">
        <v>843</v>
      </c>
      <c r="D19" s="91" t="s">
        <v>605</v>
      </c>
      <c r="E19" s="82" t="s">
        <v>606</v>
      </c>
      <c r="F19" s="82" t="s">
        <v>607</v>
      </c>
    </row>
    <row r="20" spans="1:6" ht="27.95" customHeight="1">
      <c r="A20" s="82" t="s">
        <v>844</v>
      </c>
      <c r="B20" s="84" t="s">
        <v>603</v>
      </c>
      <c r="C20" s="82" t="s">
        <v>845</v>
      </c>
      <c r="D20" s="83" t="s">
        <v>605</v>
      </c>
      <c r="E20" s="82" t="s">
        <v>774</v>
      </c>
      <c r="F20" s="82" t="s">
        <v>637</v>
      </c>
    </row>
    <row r="21" spans="1:6" ht="27.95" customHeight="1">
      <c r="A21" s="82" t="s">
        <v>846</v>
      </c>
      <c r="B21" s="84" t="s">
        <v>603</v>
      </c>
      <c r="C21" s="93" t="s">
        <v>847</v>
      </c>
      <c r="D21" s="83" t="s">
        <v>605</v>
      </c>
      <c r="E21" s="82" t="s">
        <v>848</v>
      </c>
      <c r="F21" s="82" t="s">
        <v>849</v>
      </c>
    </row>
    <row r="22" spans="1:6" ht="27.95" customHeight="1">
      <c r="A22" s="82" t="s">
        <v>850</v>
      </c>
      <c r="B22" s="84" t="s">
        <v>603</v>
      </c>
      <c r="C22" s="82" t="s">
        <v>851</v>
      </c>
      <c r="D22" s="83" t="s">
        <v>605</v>
      </c>
      <c r="E22" s="82" t="s">
        <v>852</v>
      </c>
      <c r="F22" s="82" t="s">
        <v>637</v>
      </c>
    </row>
    <row r="23" spans="1:6" ht="27.95" customHeight="1">
      <c r="A23" s="82" t="s">
        <v>853</v>
      </c>
      <c r="B23" s="84" t="s">
        <v>603</v>
      </c>
      <c r="C23" s="82" t="s">
        <v>854</v>
      </c>
      <c r="D23" s="83" t="s">
        <v>605</v>
      </c>
      <c r="E23" s="82" t="s">
        <v>610</v>
      </c>
      <c r="F23" s="82" t="s">
        <v>607</v>
      </c>
    </row>
    <row r="24" spans="1:6" ht="27.95" customHeight="1">
      <c r="A24" s="82" t="s">
        <v>855</v>
      </c>
      <c r="B24" s="84" t="s">
        <v>603</v>
      </c>
      <c r="C24" s="82" t="s">
        <v>856</v>
      </c>
      <c r="D24" s="83" t="s">
        <v>605</v>
      </c>
      <c r="E24" s="82" t="s">
        <v>804</v>
      </c>
      <c r="F24" s="82" t="s">
        <v>691</v>
      </c>
    </row>
    <row r="25" spans="1:6" ht="15">
      <c r="C25" s="63"/>
      <c r="D25" s="63"/>
    </row>
    <row r="26" spans="1:6" ht="15">
      <c r="C26" s="88" t="s">
        <v>633</v>
      </c>
      <c r="D26" s="89" t="str">
        <f>COUNTIF(D2:D24,"☑")&amp;" / "&amp;COUNTA(A2:A24)</f>
        <v>0 / 23</v>
      </c>
    </row>
  </sheetData>
  <conditionalFormatting sqref="B2:B15">
    <cfRule type="expression" dxfId="143" priority="1">
      <formula>B2="A"</formula>
    </cfRule>
    <cfRule type="expression" dxfId="142" priority="2">
      <formula>B2="B"</formula>
    </cfRule>
    <cfRule type="expression" dxfId="141" priority="3">
      <formula>B2="C"</formula>
    </cfRule>
  </conditionalFormatting>
  <conditionalFormatting sqref="D2:D23">
    <cfRule type="expression" dxfId="140" priority="4">
      <formula>D2="☑"</formula>
    </cfRule>
  </conditionalFormatting>
  <conditionalFormatting sqref="D2:D24">
    <cfRule type="expression" dxfId="139" priority="10">
      <formula>D2="☑"</formula>
    </cfRule>
  </conditionalFormatting>
  <dataValidations count="1">
    <dataValidation type="list" sqref="D2:D24" xr:uid="{00000000-0002-0000-0900-000000000000}">
      <formula1>"☐,☑"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7"/>
  <sheetViews>
    <sheetView workbookViewId="0"/>
  </sheetViews>
  <sheetFormatPr defaultRowHeight="14.25"/>
  <cols>
    <col min="1" max="1" width="34" customWidth="1"/>
    <col min="2" max="2" width="10" customWidth="1"/>
    <col min="3" max="3" width="50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81" t="s">
        <v>598</v>
      </c>
      <c r="B1" s="81" t="s">
        <v>599</v>
      </c>
      <c r="C1" s="81" t="s">
        <v>13</v>
      </c>
      <c r="D1" s="81" t="s">
        <v>3</v>
      </c>
      <c r="E1" s="81" t="s">
        <v>600</v>
      </c>
      <c r="F1" s="81" t="s">
        <v>601</v>
      </c>
    </row>
    <row r="2" spans="1:6" ht="27.95" customHeight="1">
      <c r="A2" s="82" t="s">
        <v>857</v>
      </c>
      <c r="B2" s="85" t="s">
        <v>619</v>
      </c>
      <c r="C2" s="82" t="s">
        <v>858</v>
      </c>
      <c r="D2" s="83" t="s">
        <v>605</v>
      </c>
      <c r="E2" s="82" t="s">
        <v>859</v>
      </c>
      <c r="F2" s="82" t="s">
        <v>637</v>
      </c>
    </row>
    <row r="3" spans="1:6" ht="27.95" customHeight="1">
      <c r="A3" s="82" t="s">
        <v>860</v>
      </c>
      <c r="B3" s="84" t="s">
        <v>603</v>
      </c>
      <c r="C3" s="82" t="s">
        <v>521</v>
      </c>
      <c r="D3" s="83" t="s">
        <v>605</v>
      </c>
      <c r="E3" s="82" t="s">
        <v>804</v>
      </c>
      <c r="F3" s="82" t="s">
        <v>607</v>
      </c>
    </row>
    <row r="4" spans="1:6" ht="27.95" customHeight="1">
      <c r="A4" s="82" t="s">
        <v>861</v>
      </c>
      <c r="B4" s="84" t="s">
        <v>603</v>
      </c>
      <c r="C4" s="82" t="s">
        <v>653</v>
      </c>
      <c r="D4" s="83" t="s">
        <v>605</v>
      </c>
      <c r="E4" s="82" t="s">
        <v>606</v>
      </c>
      <c r="F4" s="82" t="s">
        <v>607</v>
      </c>
    </row>
    <row r="5" spans="1:6" ht="27.95" customHeight="1">
      <c r="A5" s="82" t="s">
        <v>862</v>
      </c>
      <c r="B5" s="84" t="s">
        <v>603</v>
      </c>
      <c r="C5" s="82" t="s">
        <v>863</v>
      </c>
      <c r="D5" s="83" t="s">
        <v>605</v>
      </c>
      <c r="E5" s="82" t="s">
        <v>610</v>
      </c>
      <c r="F5" s="82" t="s">
        <v>607</v>
      </c>
    </row>
    <row r="6" spans="1:6" ht="27.95" customHeight="1">
      <c r="A6" s="82" t="s">
        <v>864</v>
      </c>
      <c r="B6" s="84" t="s">
        <v>603</v>
      </c>
      <c r="C6" s="82" t="s">
        <v>653</v>
      </c>
      <c r="D6" s="83" t="s">
        <v>605</v>
      </c>
      <c r="E6" s="82" t="s">
        <v>610</v>
      </c>
      <c r="F6" s="82" t="s">
        <v>607</v>
      </c>
    </row>
    <row r="7" spans="1:6" ht="27.95" customHeight="1">
      <c r="A7" s="82" t="s">
        <v>865</v>
      </c>
      <c r="B7" s="84" t="s">
        <v>603</v>
      </c>
      <c r="C7" s="82" t="s">
        <v>650</v>
      </c>
      <c r="D7" s="83" t="s">
        <v>605</v>
      </c>
      <c r="E7" s="82" t="s">
        <v>688</v>
      </c>
      <c r="F7" s="82" t="s">
        <v>607</v>
      </c>
    </row>
    <row r="8" spans="1:6" ht="27.95" customHeight="1">
      <c r="A8" s="82" t="s">
        <v>866</v>
      </c>
      <c r="B8" s="84" t="s">
        <v>603</v>
      </c>
      <c r="C8" s="82" t="s">
        <v>867</v>
      </c>
      <c r="D8" s="83" t="s">
        <v>605</v>
      </c>
      <c r="E8" s="82" t="s">
        <v>606</v>
      </c>
      <c r="F8" s="82" t="s">
        <v>607</v>
      </c>
    </row>
    <row r="9" spans="1:6" ht="27.95" customHeight="1">
      <c r="A9" s="82" t="s">
        <v>868</v>
      </c>
      <c r="B9" s="84" t="s">
        <v>603</v>
      </c>
      <c r="C9" s="82" t="s">
        <v>869</v>
      </c>
      <c r="D9" s="83" t="s">
        <v>605</v>
      </c>
      <c r="E9" s="82" t="s">
        <v>606</v>
      </c>
      <c r="F9" s="82" t="s">
        <v>870</v>
      </c>
    </row>
    <row r="10" spans="1:6" ht="27.95" customHeight="1">
      <c r="A10" s="82" t="s">
        <v>871</v>
      </c>
      <c r="B10" s="84" t="s">
        <v>603</v>
      </c>
      <c r="C10" s="82" t="s">
        <v>872</v>
      </c>
      <c r="D10" s="83" t="s">
        <v>605</v>
      </c>
      <c r="E10" s="82" t="s">
        <v>873</v>
      </c>
      <c r="F10" s="82" t="s">
        <v>607</v>
      </c>
    </row>
    <row r="11" spans="1:6" ht="27.95" customHeight="1">
      <c r="A11" s="82" t="s">
        <v>874</v>
      </c>
      <c r="B11" s="85" t="s">
        <v>619</v>
      </c>
      <c r="C11" s="82" t="s">
        <v>609</v>
      </c>
      <c r="D11" s="83" t="s">
        <v>605</v>
      </c>
      <c r="E11" s="82" t="s">
        <v>620</v>
      </c>
      <c r="F11" s="82" t="s">
        <v>607</v>
      </c>
    </row>
    <row r="12" spans="1:6" ht="27.95" customHeight="1">
      <c r="A12" s="82" t="s">
        <v>875</v>
      </c>
      <c r="B12" s="85" t="s">
        <v>619</v>
      </c>
      <c r="C12" s="82" t="s">
        <v>629</v>
      </c>
      <c r="D12" s="83" t="s">
        <v>605</v>
      </c>
      <c r="E12" s="82" t="s">
        <v>876</v>
      </c>
      <c r="F12" s="82" t="s">
        <v>607</v>
      </c>
    </row>
    <row r="13" spans="1:6" ht="27.95" customHeight="1">
      <c r="A13" s="82" t="s">
        <v>877</v>
      </c>
      <c r="B13" s="85" t="s">
        <v>619</v>
      </c>
      <c r="C13" s="82" t="s">
        <v>604</v>
      </c>
      <c r="D13" s="83" t="s">
        <v>605</v>
      </c>
      <c r="E13" s="82" t="s">
        <v>620</v>
      </c>
      <c r="F13" s="82" t="s">
        <v>607</v>
      </c>
    </row>
    <row r="14" spans="1:6" ht="27.95" customHeight="1">
      <c r="A14" s="82" t="s">
        <v>878</v>
      </c>
      <c r="B14" s="85" t="s">
        <v>619</v>
      </c>
      <c r="C14" s="82" t="s">
        <v>879</v>
      </c>
      <c r="D14" s="83" t="s">
        <v>605</v>
      </c>
      <c r="E14" s="82" t="s">
        <v>620</v>
      </c>
      <c r="F14" s="82" t="s">
        <v>607</v>
      </c>
    </row>
    <row r="15" spans="1:6" ht="27.95" customHeight="1">
      <c r="A15" s="82" t="s">
        <v>880</v>
      </c>
      <c r="B15" s="84" t="s">
        <v>603</v>
      </c>
      <c r="C15" s="82" t="s">
        <v>881</v>
      </c>
      <c r="D15" s="83" t="s">
        <v>605</v>
      </c>
      <c r="E15" s="82" t="s">
        <v>804</v>
      </c>
      <c r="F15" s="82" t="s">
        <v>607</v>
      </c>
    </row>
    <row r="16" spans="1:6" ht="15">
      <c r="C16" s="31"/>
      <c r="D16" s="32"/>
    </row>
    <row r="17" spans="3:4" ht="15">
      <c r="C17" s="88" t="s">
        <v>633</v>
      </c>
      <c r="D17" s="89" t="str">
        <f>COUNTIF(D2:D15,"☑")&amp;" / "&amp;COUNTA(A2:A15)</f>
        <v>0 / 14</v>
      </c>
    </row>
  </sheetData>
  <conditionalFormatting sqref="B2:B14">
    <cfRule type="expression" dxfId="138" priority="1">
      <formula>B2="A"</formula>
    </cfRule>
    <cfRule type="expression" dxfId="137" priority="2">
      <formula>B2="B"</formula>
    </cfRule>
    <cfRule type="expression" dxfId="136" priority="3">
      <formula>B2="C"</formula>
    </cfRule>
  </conditionalFormatting>
  <conditionalFormatting sqref="D2:D14">
    <cfRule type="expression" dxfId="135" priority="4">
      <formula>D2="☑"</formula>
    </cfRule>
  </conditionalFormatting>
  <conditionalFormatting sqref="D2:D15">
    <cfRule type="expression" dxfId="134" priority="5">
      <formula>D2="☑"</formula>
    </cfRule>
  </conditionalFormatting>
  <dataValidations count="1">
    <dataValidation type="list" sqref="D2:D15" xr:uid="{00000000-0002-0000-0A00-000000000000}">
      <formula1>"☐,☑"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7"/>
  <sheetViews>
    <sheetView workbookViewId="0"/>
  </sheetViews>
  <sheetFormatPr defaultRowHeight="14.25"/>
  <cols>
    <col min="1" max="1" width="34" customWidth="1"/>
    <col min="2" max="2" width="10" customWidth="1"/>
    <col min="3" max="3" width="44" customWidth="1"/>
    <col min="4" max="4" width="12" customWidth="1"/>
    <col min="5" max="5" width="42" customWidth="1"/>
    <col min="6" max="6" width="58" customWidth="1"/>
  </cols>
  <sheetData>
    <row r="1" spans="1:6" ht="21.95" customHeight="1">
      <c r="A1" s="57" t="s">
        <v>598</v>
      </c>
      <c r="B1" s="57" t="s">
        <v>599</v>
      </c>
      <c r="C1" s="57" t="s">
        <v>13</v>
      </c>
      <c r="D1" s="57" t="s">
        <v>3</v>
      </c>
      <c r="E1" s="57" t="s">
        <v>600</v>
      </c>
      <c r="F1" s="57" t="s">
        <v>601</v>
      </c>
    </row>
    <row r="2" spans="1:6" ht="26.1" customHeight="1">
      <c r="A2" s="58" t="s">
        <v>882</v>
      </c>
      <c r="B2" s="61" t="s">
        <v>619</v>
      </c>
      <c r="C2" s="58" t="s">
        <v>650</v>
      </c>
      <c r="D2" s="59" t="s">
        <v>605</v>
      </c>
      <c r="E2" s="58" t="s">
        <v>651</v>
      </c>
      <c r="F2" s="58" t="s">
        <v>607</v>
      </c>
    </row>
    <row r="3" spans="1:6" ht="26.1" customHeight="1">
      <c r="A3" s="58" t="s">
        <v>883</v>
      </c>
      <c r="B3" s="61" t="s">
        <v>619</v>
      </c>
      <c r="C3" s="58" t="s">
        <v>650</v>
      </c>
      <c r="D3" s="59" t="s">
        <v>605</v>
      </c>
      <c r="E3" s="58" t="s">
        <v>651</v>
      </c>
      <c r="F3" s="58" t="s">
        <v>607</v>
      </c>
    </row>
    <row r="4" spans="1:6" ht="26.1" customHeight="1">
      <c r="A4" s="58" t="s">
        <v>884</v>
      </c>
      <c r="B4" s="61" t="s">
        <v>619</v>
      </c>
      <c r="C4" s="58" t="s">
        <v>650</v>
      </c>
      <c r="D4" s="59" t="s">
        <v>605</v>
      </c>
      <c r="E4" s="58" t="s">
        <v>651</v>
      </c>
      <c r="F4" s="58" t="s">
        <v>607</v>
      </c>
    </row>
    <row r="5" spans="1:6" ht="26.1" customHeight="1">
      <c r="A5" s="58" t="s">
        <v>885</v>
      </c>
      <c r="B5" s="61" t="s">
        <v>619</v>
      </c>
      <c r="C5" s="58" t="s">
        <v>650</v>
      </c>
      <c r="D5" s="59" t="s">
        <v>605</v>
      </c>
      <c r="E5" s="58" t="s">
        <v>651</v>
      </c>
      <c r="F5" s="58" t="s">
        <v>607</v>
      </c>
    </row>
    <row r="6" spans="1:6" ht="26.1" customHeight="1">
      <c r="A6" s="58" t="s">
        <v>886</v>
      </c>
      <c r="B6" s="61" t="s">
        <v>619</v>
      </c>
      <c r="C6" s="58" t="s">
        <v>650</v>
      </c>
      <c r="D6" s="59" t="s">
        <v>605</v>
      </c>
      <c r="E6" s="58" t="s">
        <v>651</v>
      </c>
      <c r="F6" s="58" t="s">
        <v>607</v>
      </c>
    </row>
    <row r="7" spans="1:6" ht="26.1" customHeight="1">
      <c r="A7" s="58" t="s">
        <v>887</v>
      </c>
      <c r="B7" s="61" t="s">
        <v>619</v>
      </c>
      <c r="C7" s="58" t="s">
        <v>888</v>
      </c>
      <c r="D7" s="59" t="s">
        <v>605</v>
      </c>
      <c r="E7" s="58" t="s">
        <v>620</v>
      </c>
      <c r="F7" s="58" t="s">
        <v>607</v>
      </c>
    </row>
    <row r="8" spans="1:6" ht="26.1" customHeight="1">
      <c r="A8" s="58" t="s">
        <v>889</v>
      </c>
      <c r="B8" s="61" t="s">
        <v>619</v>
      </c>
      <c r="C8" s="58" t="s">
        <v>890</v>
      </c>
      <c r="D8" s="59" t="s">
        <v>605</v>
      </c>
      <c r="E8" s="58" t="s">
        <v>757</v>
      </c>
      <c r="F8" s="58" t="s">
        <v>891</v>
      </c>
    </row>
    <row r="9" spans="1:6" ht="26.1" customHeight="1">
      <c r="A9" s="58" t="s">
        <v>892</v>
      </c>
      <c r="B9" s="60" t="s">
        <v>603</v>
      </c>
      <c r="C9" s="58" t="s">
        <v>682</v>
      </c>
      <c r="D9" s="59" t="s">
        <v>605</v>
      </c>
      <c r="E9" s="58" t="s">
        <v>683</v>
      </c>
      <c r="F9" s="58" t="s">
        <v>607</v>
      </c>
    </row>
    <row r="10" spans="1:6" ht="26.1" customHeight="1">
      <c r="A10" s="58" t="s">
        <v>893</v>
      </c>
      <c r="B10" s="61" t="s">
        <v>619</v>
      </c>
      <c r="C10" s="58" t="s">
        <v>650</v>
      </c>
      <c r="D10" s="59" t="s">
        <v>605</v>
      </c>
      <c r="E10" s="58" t="s">
        <v>651</v>
      </c>
      <c r="F10" s="58" t="s">
        <v>607</v>
      </c>
    </row>
    <row r="11" spans="1:6" ht="26.1" customHeight="1">
      <c r="A11" s="58" t="s">
        <v>894</v>
      </c>
      <c r="B11" s="61" t="s">
        <v>619</v>
      </c>
      <c r="C11" s="58" t="s">
        <v>650</v>
      </c>
      <c r="D11" s="59" t="s">
        <v>605</v>
      </c>
      <c r="E11" s="58" t="s">
        <v>651</v>
      </c>
      <c r="F11" s="58" t="s">
        <v>607</v>
      </c>
    </row>
    <row r="12" spans="1:6" ht="26.1" customHeight="1">
      <c r="A12" s="58" t="s">
        <v>895</v>
      </c>
      <c r="B12" s="61" t="s">
        <v>619</v>
      </c>
      <c r="C12" s="58" t="s">
        <v>650</v>
      </c>
      <c r="D12" s="59" t="s">
        <v>605</v>
      </c>
      <c r="E12" s="58" t="s">
        <v>651</v>
      </c>
      <c r="F12" s="58" t="s">
        <v>607</v>
      </c>
    </row>
    <row r="13" spans="1:6" ht="26.1" customHeight="1">
      <c r="A13" s="58" t="s">
        <v>896</v>
      </c>
      <c r="B13" s="60" t="s">
        <v>603</v>
      </c>
      <c r="C13" s="58" t="s">
        <v>897</v>
      </c>
      <c r="D13" s="59" t="s">
        <v>605</v>
      </c>
      <c r="E13" s="58" t="s">
        <v>731</v>
      </c>
      <c r="F13" s="58" t="s">
        <v>898</v>
      </c>
    </row>
    <row r="14" spans="1:6" ht="26.1" customHeight="1">
      <c r="A14" s="58" t="s">
        <v>899</v>
      </c>
      <c r="B14" s="60" t="s">
        <v>603</v>
      </c>
      <c r="C14" s="58" t="s">
        <v>845</v>
      </c>
      <c r="D14" s="59" t="s">
        <v>605</v>
      </c>
      <c r="E14" s="58" t="s">
        <v>774</v>
      </c>
      <c r="F14" s="58" t="s">
        <v>637</v>
      </c>
    </row>
    <row r="15" spans="1:6" ht="26.1" customHeight="1">
      <c r="A15" s="58" t="s">
        <v>900</v>
      </c>
      <c r="B15" s="60" t="s">
        <v>603</v>
      </c>
      <c r="C15" s="58" t="s">
        <v>901</v>
      </c>
      <c r="D15" s="59" t="s">
        <v>605</v>
      </c>
      <c r="E15" s="58" t="s">
        <v>678</v>
      </c>
      <c r="F15" s="58" t="s">
        <v>691</v>
      </c>
    </row>
    <row r="16" spans="1:6" ht="26.1" customHeight="1">
      <c r="A16" s="58" t="s">
        <v>902</v>
      </c>
      <c r="B16" s="61" t="s">
        <v>619</v>
      </c>
      <c r="C16" s="58" t="s">
        <v>650</v>
      </c>
      <c r="D16" s="59" t="s">
        <v>605</v>
      </c>
      <c r="E16" s="58" t="s">
        <v>651</v>
      </c>
      <c r="F16" s="58" t="s">
        <v>607</v>
      </c>
    </row>
    <row r="17" spans="1:6" ht="26.1" customHeight="1">
      <c r="A17" s="58" t="s">
        <v>903</v>
      </c>
      <c r="B17" s="60" t="s">
        <v>603</v>
      </c>
      <c r="C17" s="58" t="s">
        <v>904</v>
      </c>
      <c r="D17" s="59" t="s">
        <v>605</v>
      </c>
      <c r="E17" s="58" t="s">
        <v>905</v>
      </c>
      <c r="F17" s="58" t="s">
        <v>637</v>
      </c>
    </row>
    <row r="18" spans="1:6" ht="26.1" customHeight="1">
      <c r="A18" s="58" t="s">
        <v>906</v>
      </c>
      <c r="B18" s="60" t="s">
        <v>603</v>
      </c>
      <c r="C18" s="58" t="s">
        <v>907</v>
      </c>
      <c r="D18" s="59" t="s">
        <v>605</v>
      </c>
      <c r="E18" s="58" t="s">
        <v>908</v>
      </c>
      <c r="F18" s="58" t="s">
        <v>607</v>
      </c>
    </row>
    <row r="19" spans="1:6" ht="26.1" customHeight="1">
      <c r="A19" s="58" t="s">
        <v>909</v>
      </c>
      <c r="B19" s="60" t="s">
        <v>603</v>
      </c>
      <c r="C19" s="58" t="s">
        <v>910</v>
      </c>
      <c r="D19" s="59" t="s">
        <v>605</v>
      </c>
      <c r="E19" s="58" t="s">
        <v>911</v>
      </c>
      <c r="F19" s="58" t="s">
        <v>607</v>
      </c>
    </row>
    <row r="20" spans="1:6" ht="26.1" customHeight="1">
      <c r="A20" s="58" t="s">
        <v>912</v>
      </c>
      <c r="B20" s="61" t="s">
        <v>619</v>
      </c>
      <c r="C20" s="58" t="s">
        <v>650</v>
      </c>
      <c r="D20" s="59" t="s">
        <v>605</v>
      </c>
      <c r="E20" s="58" t="s">
        <v>651</v>
      </c>
      <c r="F20" s="58" t="s">
        <v>607</v>
      </c>
    </row>
    <row r="21" spans="1:6" ht="26.1" customHeight="1">
      <c r="A21" s="58" t="s">
        <v>913</v>
      </c>
      <c r="B21" s="62" t="s">
        <v>615</v>
      </c>
      <c r="C21" s="58" t="s">
        <v>914</v>
      </c>
      <c r="D21" s="59" t="s">
        <v>605</v>
      </c>
      <c r="E21" s="58" t="s">
        <v>915</v>
      </c>
      <c r="F21" s="58" t="s">
        <v>637</v>
      </c>
    </row>
    <row r="22" spans="1:6" ht="26.1" customHeight="1">
      <c r="A22" s="58" t="s">
        <v>916</v>
      </c>
      <c r="B22" s="61" t="s">
        <v>619</v>
      </c>
      <c r="C22" s="58" t="s">
        <v>650</v>
      </c>
      <c r="D22" s="59" t="s">
        <v>605</v>
      </c>
      <c r="E22" s="58" t="s">
        <v>651</v>
      </c>
      <c r="F22" s="58" t="s">
        <v>607</v>
      </c>
    </row>
    <row r="23" spans="1:6" ht="26.1" customHeight="1">
      <c r="A23" s="58" t="s">
        <v>917</v>
      </c>
      <c r="B23" s="61" t="s">
        <v>619</v>
      </c>
      <c r="C23" s="58" t="s">
        <v>888</v>
      </c>
      <c r="D23" s="59" t="s">
        <v>605</v>
      </c>
      <c r="E23" s="58" t="s">
        <v>620</v>
      </c>
      <c r="F23" s="58" t="s">
        <v>607</v>
      </c>
    </row>
    <row r="24" spans="1:6" ht="26.1" customHeight="1">
      <c r="A24" s="58" t="s">
        <v>918</v>
      </c>
      <c r="B24" s="61" t="s">
        <v>619</v>
      </c>
      <c r="C24" s="58" t="s">
        <v>888</v>
      </c>
      <c r="D24" s="59" t="s">
        <v>605</v>
      </c>
      <c r="E24" s="58" t="s">
        <v>620</v>
      </c>
      <c r="F24" s="58" t="s">
        <v>607</v>
      </c>
    </row>
    <row r="25" spans="1:6" ht="26.1" customHeight="1">
      <c r="A25" s="58" t="s">
        <v>919</v>
      </c>
      <c r="B25" s="61" t="s">
        <v>619</v>
      </c>
      <c r="C25" s="58" t="s">
        <v>650</v>
      </c>
      <c r="D25" s="59" t="s">
        <v>605</v>
      </c>
      <c r="E25" s="58" t="s">
        <v>651</v>
      </c>
      <c r="F25" s="58" t="s">
        <v>607</v>
      </c>
    </row>
    <row r="26" spans="1:6" ht="26.1" customHeight="1">
      <c r="A26" s="58" t="s">
        <v>920</v>
      </c>
      <c r="B26" s="61" t="s">
        <v>619</v>
      </c>
      <c r="C26" s="58" t="s">
        <v>650</v>
      </c>
      <c r="D26" s="59" t="s">
        <v>605</v>
      </c>
      <c r="E26" s="58" t="s">
        <v>651</v>
      </c>
      <c r="F26" s="58" t="s">
        <v>607</v>
      </c>
    </row>
    <row r="27" spans="1:6" ht="26.1" customHeight="1">
      <c r="A27" s="58" t="s">
        <v>921</v>
      </c>
      <c r="B27" s="61" t="s">
        <v>619</v>
      </c>
      <c r="C27" s="58" t="s">
        <v>888</v>
      </c>
      <c r="D27" s="59" t="s">
        <v>605</v>
      </c>
      <c r="E27" s="58" t="s">
        <v>620</v>
      </c>
      <c r="F27" s="58" t="s">
        <v>607</v>
      </c>
    </row>
    <row r="28" spans="1:6" ht="26.1" customHeight="1">
      <c r="A28" s="58" t="s">
        <v>922</v>
      </c>
      <c r="B28" s="61" t="s">
        <v>619</v>
      </c>
      <c r="C28" s="58" t="s">
        <v>650</v>
      </c>
      <c r="D28" s="59" t="s">
        <v>605</v>
      </c>
      <c r="E28" s="58" t="s">
        <v>651</v>
      </c>
      <c r="F28" s="58" t="s">
        <v>607</v>
      </c>
    </row>
    <row r="29" spans="1:6" ht="26.1" customHeight="1">
      <c r="A29" s="58" t="s">
        <v>923</v>
      </c>
      <c r="B29" s="61" t="s">
        <v>619</v>
      </c>
      <c r="C29" s="58" t="s">
        <v>650</v>
      </c>
      <c r="D29" s="59" t="s">
        <v>605</v>
      </c>
      <c r="E29" s="58" t="s">
        <v>651</v>
      </c>
      <c r="F29" s="58" t="s">
        <v>607</v>
      </c>
    </row>
    <row r="30" spans="1:6" ht="26.1" customHeight="1">
      <c r="A30" s="58" t="s">
        <v>924</v>
      </c>
      <c r="B30" s="60" t="s">
        <v>603</v>
      </c>
      <c r="C30" s="58" t="s">
        <v>650</v>
      </c>
      <c r="D30" s="59" t="s">
        <v>605</v>
      </c>
      <c r="E30" s="58" t="s">
        <v>688</v>
      </c>
      <c r="F30" s="58" t="s">
        <v>607</v>
      </c>
    </row>
    <row r="31" spans="1:6" ht="26.1" customHeight="1">
      <c r="A31" s="58" t="s">
        <v>925</v>
      </c>
      <c r="B31" s="60" t="s">
        <v>603</v>
      </c>
      <c r="C31" s="58" t="s">
        <v>926</v>
      </c>
      <c r="D31" s="59" t="s">
        <v>605</v>
      </c>
      <c r="E31" s="58" t="s">
        <v>927</v>
      </c>
      <c r="F31" s="58" t="s">
        <v>637</v>
      </c>
    </row>
    <row r="32" spans="1:6" ht="26.1" customHeight="1">
      <c r="A32" s="58" t="s">
        <v>928</v>
      </c>
      <c r="B32" s="61" t="s">
        <v>619</v>
      </c>
      <c r="C32" s="58" t="s">
        <v>650</v>
      </c>
      <c r="D32" s="59" t="s">
        <v>605</v>
      </c>
      <c r="E32" s="58" t="s">
        <v>651</v>
      </c>
      <c r="F32" s="58" t="s">
        <v>607</v>
      </c>
    </row>
    <row r="33" spans="1:6" ht="26.1" customHeight="1">
      <c r="A33" s="58" t="s">
        <v>929</v>
      </c>
      <c r="B33" s="61" t="s">
        <v>619</v>
      </c>
      <c r="C33" s="58" t="s">
        <v>930</v>
      </c>
      <c r="D33" s="59" t="s">
        <v>605</v>
      </c>
      <c r="E33" s="58" t="s">
        <v>620</v>
      </c>
      <c r="F33" s="58" t="s">
        <v>607</v>
      </c>
    </row>
    <row r="34" spans="1:6" ht="26.1" customHeight="1">
      <c r="A34" s="58" t="s">
        <v>931</v>
      </c>
      <c r="B34" s="61" t="s">
        <v>619</v>
      </c>
      <c r="C34" s="58" t="s">
        <v>650</v>
      </c>
      <c r="D34" s="59" t="s">
        <v>605</v>
      </c>
      <c r="E34" s="58" t="s">
        <v>651</v>
      </c>
      <c r="F34" s="58" t="s">
        <v>607</v>
      </c>
    </row>
    <row r="35" spans="1:6" ht="26.1" customHeight="1">
      <c r="A35" s="58" t="s">
        <v>932</v>
      </c>
      <c r="B35" s="60" t="s">
        <v>603</v>
      </c>
      <c r="C35" s="58" t="s">
        <v>933</v>
      </c>
      <c r="D35" s="59" t="s">
        <v>605</v>
      </c>
      <c r="E35" s="58" t="s">
        <v>610</v>
      </c>
      <c r="F35" s="58" t="s">
        <v>607</v>
      </c>
    </row>
    <row r="36" spans="1:6" ht="26.1" customHeight="1">
      <c r="A36" s="58" t="s">
        <v>934</v>
      </c>
      <c r="B36" s="61" t="s">
        <v>619</v>
      </c>
      <c r="C36" s="58" t="s">
        <v>650</v>
      </c>
      <c r="D36" s="59" t="s">
        <v>605</v>
      </c>
      <c r="E36" s="58" t="s">
        <v>651</v>
      </c>
      <c r="F36" s="58" t="s">
        <v>607</v>
      </c>
    </row>
    <row r="37" spans="1:6" ht="26.1" customHeight="1">
      <c r="A37" s="58" t="s">
        <v>935</v>
      </c>
      <c r="B37" s="61" t="s">
        <v>619</v>
      </c>
      <c r="C37" s="58" t="s">
        <v>888</v>
      </c>
      <c r="D37" s="59" t="s">
        <v>605</v>
      </c>
      <c r="E37" s="58" t="s">
        <v>620</v>
      </c>
      <c r="F37" s="58" t="s">
        <v>607</v>
      </c>
    </row>
    <row r="38" spans="1:6" ht="26.1" customHeight="1">
      <c r="A38" s="58" t="s">
        <v>936</v>
      </c>
      <c r="B38" s="61" t="s">
        <v>619</v>
      </c>
      <c r="C38" s="58" t="s">
        <v>650</v>
      </c>
      <c r="D38" s="59" t="s">
        <v>605</v>
      </c>
      <c r="E38" s="58" t="s">
        <v>651</v>
      </c>
      <c r="F38" s="58" t="s">
        <v>607</v>
      </c>
    </row>
    <row r="39" spans="1:6" ht="26.1" customHeight="1">
      <c r="A39" s="58" t="s">
        <v>937</v>
      </c>
      <c r="B39" s="60" t="s">
        <v>603</v>
      </c>
      <c r="C39" s="58" t="s">
        <v>854</v>
      </c>
      <c r="D39" s="59" t="s">
        <v>605</v>
      </c>
      <c r="E39" s="58" t="s">
        <v>678</v>
      </c>
      <c r="F39" s="58" t="s">
        <v>938</v>
      </c>
    </row>
    <row r="40" spans="1:6" ht="26.1" customHeight="1">
      <c r="A40" s="58" t="s">
        <v>939</v>
      </c>
      <c r="B40" s="61" t="s">
        <v>619</v>
      </c>
      <c r="C40" s="58" t="s">
        <v>650</v>
      </c>
      <c r="D40" s="59" t="s">
        <v>605</v>
      </c>
      <c r="E40" s="58" t="s">
        <v>651</v>
      </c>
      <c r="F40" s="58" t="s">
        <v>607</v>
      </c>
    </row>
    <row r="41" spans="1:6" ht="26.1" customHeight="1">
      <c r="A41" s="58" t="s">
        <v>940</v>
      </c>
      <c r="B41" s="61" t="s">
        <v>619</v>
      </c>
      <c r="C41" s="58" t="s">
        <v>650</v>
      </c>
      <c r="D41" s="59" t="s">
        <v>605</v>
      </c>
      <c r="E41" s="58" t="s">
        <v>651</v>
      </c>
      <c r="F41" s="58" t="s">
        <v>607</v>
      </c>
    </row>
    <row r="42" spans="1:6" ht="26.1" customHeight="1">
      <c r="A42" s="58" t="s">
        <v>941</v>
      </c>
      <c r="B42" s="61" t="s">
        <v>619</v>
      </c>
      <c r="C42" s="58" t="s">
        <v>330</v>
      </c>
      <c r="D42" s="59" t="s">
        <v>605</v>
      </c>
      <c r="E42" s="58" t="s">
        <v>620</v>
      </c>
      <c r="F42" s="58" t="s">
        <v>607</v>
      </c>
    </row>
    <row r="43" spans="1:6" ht="26.1" customHeight="1">
      <c r="A43" s="58" t="s">
        <v>942</v>
      </c>
      <c r="B43" s="61" t="s">
        <v>619</v>
      </c>
      <c r="C43" s="58" t="s">
        <v>650</v>
      </c>
      <c r="D43" s="59" t="s">
        <v>605</v>
      </c>
      <c r="E43" s="58" t="s">
        <v>651</v>
      </c>
      <c r="F43" s="58" t="s">
        <v>607</v>
      </c>
    </row>
    <row r="44" spans="1:6" ht="26.1" customHeight="1">
      <c r="A44" s="58" t="s">
        <v>943</v>
      </c>
      <c r="B44" s="61" t="s">
        <v>619</v>
      </c>
      <c r="C44" s="58" t="s">
        <v>650</v>
      </c>
      <c r="D44" s="59" t="s">
        <v>605</v>
      </c>
      <c r="E44" s="58" t="s">
        <v>651</v>
      </c>
      <c r="F44" s="58" t="s">
        <v>607</v>
      </c>
    </row>
    <row r="45" spans="1:6" ht="26.1" customHeight="1">
      <c r="A45" s="58" t="s">
        <v>944</v>
      </c>
      <c r="B45" s="61" t="s">
        <v>619</v>
      </c>
      <c r="C45" s="58" t="s">
        <v>650</v>
      </c>
      <c r="D45" s="59" t="s">
        <v>605</v>
      </c>
      <c r="E45" s="58" t="s">
        <v>651</v>
      </c>
      <c r="F45" s="58" t="s">
        <v>607</v>
      </c>
    </row>
    <row r="46" spans="1:6" ht="26.1" customHeight="1">
      <c r="A46" s="58" t="s">
        <v>945</v>
      </c>
      <c r="B46" s="61" t="s">
        <v>619</v>
      </c>
      <c r="C46" s="58" t="s">
        <v>650</v>
      </c>
      <c r="D46" s="59" t="s">
        <v>605</v>
      </c>
      <c r="E46" s="58" t="s">
        <v>651</v>
      </c>
      <c r="F46" s="58" t="s">
        <v>607</v>
      </c>
    </row>
    <row r="47" spans="1:6" ht="26.1" customHeight="1">
      <c r="A47" s="58" t="s">
        <v>946</v>
      </c>
      <c r="B47" s="60" t="s">
        <v>603</v>
      </c>
      <c r="C47" s="58" t="s">
        <v>521</v>
      </c>
      <c r="D47" s="59" t="s">
        <v>605</v>
      </c>
      <c r="E47" s="58" t="s">
        <v>606</v>
      </c>
      <c r="F47" s="58" t="s">
        <v>607</v>
      </c>
    </row>
    <row r="48" spans="1:6" ht="26.1" customHeight="1">
      <c r="A48" s="58" t="s">
        <v>947</v>
      </c>
      <c r="B48" s="61" t="s">
        <v>619</v>
      </c>
      <c r="C48" s="58" t="s">
        <v>650</v>
      </c>
      <c r="D48" s="59" t="s">
        <v>605</v>
      </c>
      <c r="E48" s="58" t="s">
        <v>738</v>
      </c>
      <c r="F48" s="58" t="s">
        <v>607</v>
      </c>
    </row>
    <row r="49" spans="1:6" ht="26.1" customHeight="1">
      <c r="A49" s="58" t="s">
        <v>948</v>
      </c>
      <c r="B49" s="61" t="s">
        <v>619</v>
      </c>
      <c r="C49" s="58" t="s">
        <v>930</v>
      </c>
      <c r="D49" s="59" t="s">
        <v>605</v>
      </c>
      <c r="E49" s="58" t="s">
        <v>620</v>
      </c>
      <c r="F49" s="58" t="s">
        <v>607</v>
      </c>
    </row>
    <row r="50" spans="1:6" ht="26.1" customHeight="1">
      <c r="A50" s="58" t="s">
        <v>949</v>
      </c>
      <c r="B50" s="61" t="s">
        <v>619</v>
      </c>
      <c r="C50" s="58" t="s">
        <v>650</v>
      </c>
      <c r="D50" s="59" t="s">
        <v>605</v>
      </c>
      <c r="E50" s="58" t="s">
        <v>651</v>
      </c>
      <c r="F50" s="58" t="s">
        <v>607</v>
      </c>
    </row>
    <row r="51" spans="1:6" ht="26.1" customHeight="1">
      <c r="A51" s="58" t="s">
        <v>950</v>
      </c>
      <c r="B51" s="60" t="s">
        <v>603</v>
      </c>
      <c r="C51" s="58" t="s">
        <v>951</v>
      </c>
      <c r="D51" s="59" t="s">
        <v>605</v>
      </c>
      <c r="E51" s="58" t="s">
        <v>610</v>
      </c>
      <c r="F51" s="58" t="s">
        <v>607</v>
      </c>
    </row>
    <row r="52" spans="1:6" ht="26.1" customHeight="1">
      <c r="A52" s="58" t="s">
        <v>952</v>
      </c>
      <c r="B52" s="61" t="s">
        <v>619</v>
      </c>
      <c r="C52" s="58" t="s">
        <v>650</v>
      </c>
      <c r="D52" s="59" t="s">
        <v>605</v>
      </c>
      <c r="E52" s="58" t="s">
        <v>651</v>
      </c>
      <c r="F52" s="58" t="s">
        <v>607</v>
      </c>
    </row>
    <row r="53" spans="1:6" ht="26.1" customHeight="1">
      <c r="A53" s="58" t="s">
        <v>953</v>
      </c>
      <c r="B53" s="61" t="s">
        <v>619</v>
      </c>
      <c r="C53" s="58" t="s">
        <v>650</v>
      </c>
      <c r="D53" s="59" t="s">
        <v>605</v>
      </c>
      <c r="E53" s="58" t="s">
        <v>651</v>
      </c>
      <c r="F53" s="58" t="s">
        <v>607</v>
      </c>
    </row>
    <row r="54" spans="1:6" ht="26.1" customHeight="1">
      <c r="A54" s="58" t="s">
        <v>954</v>
      </c>
      <c r="B54" s="61" t="s">
        <v>619</v>
      </c>
      <c r="C54" s="58" t="s">
        <v>888</v>
      </c>
      <c r="D54" s="59" t="s">
        <v>605</v>
      </c>
      <c r="E54" s="58" t="s">
        <v>620</v>
      </c>
      <c r="F54" s="58" t="s">
        <v>607</v>
      </c>
    </row>
    <row r="55" spans="1:6" ht="26.1" customHeight="1">
      <c r="A55" s="58" t="s">
        <v>955</v>
      </c>
      <c r="B55" s="61" t="s">
        <v>619</v>
      </c>
      <c r="C55" s="58" t="s">
        <v>650</v>
      </c>
      <c r="D55" s="59" t="s">
        <v>605</v>
      </c>
      <c r="E55" s="58" t="s">
        <v>651</v>
      </c>
      <c r="F55" s="58" t="s">
        <v>607</v>
      </c>
    </row>
    <row r="56" spans="1:6" ht="26.1" customHeight="1">
      <c r="A56" s="58" t="s">
        <v>956</v>
      </c>
      <c r="B56" s="61" t="s">
        <v>619</v>
      </c>
      <c r="C56" s="58" t="s">
        <v>650</v>
      </c>
      <c r="D56" s="59" t="s">
        <v>605</v>
      </c>
      <c r="E56" s="58" t="s">
        <v>651</v>
      </c>
      <c r="F56" s="58" t="s">
        <v>607</v>
      </c>
    </row>
    <row r="57" spans="1:6" ht="26.1" customHeight="1">
      <c r="A57" s="58" t="s">
        <v>957</v>
      </c>
      <c r="B57" s="61" t="s">
        <v>619</v>
      </c>
      <c r="C57" s="58" t="s">
        <v>650</v>
      </c>
      <c r="D57" s="59" t="s">
        <v>605</v>
      </c>
      <c r="E57" s="58" t="s">
        <v>651</v>
      </c>
      <c r="F57" s="58" t="s">
        <v>607</v>
      </c>
    </row>
    <row r="58" spans="1:6" ht="26.1" customHeight="1">
      <c r="A58" s="58" t="s">
        <v>958</v>
      </c>
      <c r="B58" s="61" t="s">
        <v>619</v>
      </c>
      <c r="C58" s="64" t="s">
        <v>650</v>
      </c>
      <c r="D58" s="65" t="s">
        <v>605</v>
      </c>
      <c r="E58" s="58" t="s">
        <v>651</v>
      </c>
      <c r="F58" s="58" t="s">
        <v>607</v>
      </c>
    </row>
    <row r="59" spans="1:6" ht="26.1" customHeight="1">
      <c r="A59" s="58" t="s">
        <v>959</v>
      </c>
      <c r="B59" s="61" t="s">
        <v>619</v>
      </c>
      <c r="C59" s="64" t="s">
        <v>650</v>
      </c>
      <c r="D59" s="65" t="s">
        <v>605</v>
      </c>
      <c r="E59" s="58" t="s">
        <v>651</v>
      </c>
      <c r="F59" s="58" t="s">
        <v>607</v>
      </c>
    </row>
    <row r="60" spans="1:6" ht="26.1" customHeight="1">
      <c r="A60" s="58" t="s">
        <v>960</v>
      </c>
      <c r="B60" s="60" t="s">
        <v>603</v>
      </c>
      <c r="C60" s="66" t="s">
        <v>650</v>
      </c>
      <c r="D60" s="65" t="s">
        <v>605</v>
      </c>
      <c r="E60" s="58" t="s">
        <v>688</v>
      </c>
      <c r="F60" s="58" t="s">
        <v>607</v>
      </c>
    </row>
    <row r="61" spans="1:6" ht="26.1" customHeight="1">
      <c r="A61" s="58" t="s">
        <v>961</v>
      </c>
      <c r="B61" s="61" t="s">
        <v>619</v>
      </c>
      <c r="C61" s="67" t="s">
        <v>650</v>
      </c>
      <c r="D61" s="59" t="s">
        <v>605</v>
      </c>
      <c r="E61" s="58" t="s">
        <v>651</v>
      </c>
      <c r="F61" s="58" t="s">
        <v>607</v>
      </c>
    </row>
    <row r="62" spans="1:6" ht="26.1" customHeight="1">
      <c r="A62" s="58" t="s">
        <v>962</v>
      </c>
      <c r="B62" s="60" t="s">
        <v>603</v>
      </c>
      <c r="C62" s="58" t="s">
        <v>650</v>
      </c>
      <c r="D62" s="59" t="s">
        <v>605</v>
      </c>
      <c r="E62" s="58" t="s">
        <v>688</v>
      </c>
      <c r="F62" s="58" t="s">
        <v>607</v>
      </c>
    </row>
    <row r="63" spans="1:6" ht="26.1" customHeight="1">
      <c r="A63" s="58" t="s">
        <v>963</v>
      </c>
      <c r="B63" s="60" t="s">
        <v>603</v>
      </c>
      <c r="C63" s="67" t="s">
        <v>665</v>
      </c>
      <c r="D63" s="59" t="s">
        <v>605</v>
      </c>
      <c r="E63" s="58" t="s">
        <v>610</v>
      </c>
      <c r="F63" s="58" t="s">
        <v>607</v>
      </c>
    </row>
    <row r="64" spans="1:6" ht="26.1" customHeight="1">
      <c r="A64" s="58" t="s">
        <v>964</v>
      </c>
      <c r="B64" s="60" t="s">
        <v>603</v>
      </c>
      <c r="C64" s="58" t="s">
        <v>965</v>
      </c>
      <c r="D64" s="59" t="s">
        <v>605</v>
      </c>
      <c r="E64" s="58" t="s">
        <v>606</v>
      </c>
      <c r="F64" s="58" t="s">
        <v>691</v>
      </c>
    </row>
    <row r="65" spans="1:6" ht="26.1" customHeight="1">
      <c r="A65" s="58" t="s">
        <v>966</v>
      </c>
      <c r="B65" s="61" t="s">
        <v>619</v>
      </c>
      <c r="C65" s="58" t="s">
        <v>650</v>
      </c>
      <c r="D65" s="59" t="s">
        <v>605</v>
      </c>
      <c r="E65" s="58" t="s">
        <v>651</v>
      </c>
      <c r="F65" s="58" t="s">
        <v>607</v>
      </c>
    </row>
    <row r="67" spans="1:6" ht="15">
      <c r="C67" s="63" t="s">
        <v>633</v>
      </c>
      <c r="D67" s="63" t="str">
        <f>COUNTIF(D2:D65,"☑")&amp;" / "&amp;COUNTA(A2:A65)</f>
        <v>0 / 64</v>
      </c>
    </row>
  </sheetData>
  <conditionalFormatting sqref="B2:B56">
    <cfRule type="expression" dxfId="133" priority="1">
      <formula>B2="A"</formula>
    </cfRule>
    <cfRule type="expression" dxfId="132" priority="2">
      <formula>B2="B"</formula>
    </cfRule>
    <cfRule type="expression" dxfId="131" priority="3">
      <formula>B2="C"</formula>
    </cfRule>
  </conditionalFormatting>
  <conditionalFormatting sqref="D2:D65">
    <cfRule type="expression" dxfId="130" priority="4">
      <formula>D2="☑"</formula>
    </cfRule>
  </conditionalFormatting>
  <dataValidations count="1">
    <dataValidation type="list" sqref="D2:D65" xr:uid="{00000000-0002-0000-0B00-000000000000}">
      <formula1>"☐,☑"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7"/>
  <sheetViews>
    <sheetView workbookViewId="0"/>
  </sheetViews>
  <sheetFormatPr defaultRowHeight="14.25"/>
  <cols>
    <col min="1" max="1" width="34" customWidth="1"/>
    <col min="2" max="2" width="10" customWidth="1"/>
    <col min="3" max="3" width="50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81" t="s">
        <v>598</v>
      </c>
      <c r="B1" s="81" t="s">
        <v>599</v>
      </c>
      <c r="C1" s="81" t="s">
        <v>13</v>
      </c>
      <c r="D1" s="81" t="s">
        <v>3</v>
      </c>
      <c r="E1" s="81" t="s">
        <v>600</v>
      </c>
      <c r="F1" s="81" t="s">
        <v>601</v>
      </c>
    </row>
    <row r="2" spans="1:6" ht="27.95" customHeight="1">
      <c r="A2" s="82" t="s">
        <v>967</v>
      </c>
      <c r="B2" s="85" t="s">
        <v>619</v>
      </c>
      <c r="C2" s="82" t="s">
        <v>650</v>
      </c>
      <c r="D2" s="83" t="s">
        <v>605</v>
      </c>
      <c r="E2" s="82" t="s">
        <v>651</v>
      </c>
      <c r="F2" s="82" t="s">
        <v>607</v>
      </c>
    </row>
    <row r="3" spans="1:6" ht="27.95" customHeight="1">
      <c r="A3" s="82" t="s">
        <v>968</v>
      </c>
      <c r="B3" s="85" t="s">
        <v>619</v>
      </c>
      <c r="C3" s="82" t="s">
        <v>650</v>
      </c>
      <c r="D3" s="83" t="s">
        <v>605</v>
      </c>
      <c r="E3" s="82" t="s">
        <v>651</v>
      </c>
      <c r="F3" s="82" t="s">
        <v>607</v>
      </c>
    </row>
    <row r="4" spans="1:6" ht="27.95" customHeight="1">
      <c r="A4" s="82" t="s">
        <v>969</v>
      </c>
      <c r="B4" s="86" t="s">
        <v>615</v>
      </c>
      <c r="C4" s="82" t="s">
        <v>795</v>
      </c>
      <c r="D4" s="83" t="s">
        <v>605</v>
      </c>
      <c r="E4" s="82" t="s">
        <v>630</v>
      </c>
      <c r="F4" s="82" t="s">
        <v>607</v>
      </c>
    </row>
    <row r="5" spans="1:6" ht="27.95" customHeight="1">
      <c r="A5" s="82" t="s">
        <v>970</v>
      </c>
      <c r="B5" s="84" t="s">
        <v>603</v>
      </c>
      <c r="C5" s="82" t="s">
        <v>971</v>
      </c>
      <c r="D5" s="83" t="s">
        <v>605</v>
      </c>
      <c r="E5" s="82" t="s">
        <v>648</v>
      </c>
      <c r="F5" s="82" t="s">
        <v>637</v>
      </c>
    </row>
    <row r="6" spans="1:6" ht="27.95" customHeight="1">
      <c r="A6" s="82" t="s">
        <v>972</v>
      </c>
      <c r="B6" s="85" t="s">
        <v>619</v>
      </c>
      <c r="C6" s="82" t="s">
        <v>650</v>
      </c>
      <c r="D6" s="83" t="s">
        <v>605</v>
      </c>
      <c r="E6" s="82" t="s">
        <v>651</v>
      </c>
      <c r="F6" s="82" t="s">
        <v>607</v>
      </c>
    </row>
    <row r="7" spans="1:6" ht="27.95" customHeight="1">
      <c r="A7" s="82" t="s">
        <v>435</v>
      </c>
      <c r="B7" s="84" t="s">
        <v>603</v>
      </c>
      <c r="C7" s="82" t="s">
        <v>973</v>
      </c>
      <c r="D7" s="83" t="s">
        <v>605</v>
      </c>
      <c r="E7" s="82" t="s">
        <v>610</v>
      </c>
      <c r="F7" s="82" t="s">
        <v>974</v>
      </c>
    </row>
    <row r="8" spans="1:6" ht="27.95" customHeight="1">
      <c r="A8" s="82" t="s">
        <v>975</v>
      </c>
      <c r="B8" s="85" t="s">
        <v>619</v>
      </c>
      <c r="C8" s="82" t="s">
        <v>888</v>
      </c>
      <c r="D8" s="83" t="s">
        <v>605</v>
      </c>
      <c r="E8" s="82" t="s">
        <v>620</v>
      </c>
      <c r="F8" s="82" t="s">
        <v>607</v>
      </c>
    </row>
    <row r="9" spans="1:6" ht="27.95" customHeight="1">
      <c r="A9" s="82" t="s">
        <v>976</v>
      </c>
      <c r="B9" s="85" t="s">
        <v>619</v>
      </c>
      <c r="C9" s="82" t="s">
        <v>650</v>
      </c>
      <c r="D9" s="83" t="s">
        <v>605</v>
      </c>
      <c r="E9" s="82" t="s">
        <v>651</v>
      </c>
      <c r="F9" s="82" t="s">
        <v>607</v>
      </c>
    </row>
    <row r="10" spans="1:6" ht="27.95" customHeight="1">
      <c r="A10" s="82" t="s">
        <v>977</v>
      </c>
      <c r="B10" s="85" t="s">
        <v>619</v>
      </c>
      <c r="C10" s="82" t="s">
        <v>650</v>
      </c>
      <c r="D10" s="83" t="s">
        <v>605</v>
      </c>
      <c r="E10" s="82" t="s">
        <v>651</v>
      </c>
      <c r="F10" s="82" t="s">
        <v>607</v>
      </c>
    </row>
    <row r="11" spans="1:6" ht="27.95" customHeight="1">
      <c r="A11" s="82" t="s">
        <v>978</v>
      </c>
      <c r="B11" s="85" t="s">
        <v>619</v>
      </c>
      <c r="C11" s="82" t="s">
        <v>650</v>
      </c>
      <c r="D11" s="83" t="s">
        <v>605</v>
      </c>
      <c r="E11" s="82" t="s">
        <v>651</v>
      </c>
      <c r="F11" s="82" t="s">
        <v>607</v>
      </c>
    </row>
    <row r="12" spans="1:6" ht="27.95" customHeight="1">
      <c r="A12" s="82" t="s">
        <v>979</v>
      </c>
      <c r="B12" s="85" t="s">
        <v>619</v>
      </c>
      <c r="C12" s="82" t="s">
        <v>650</v>
      </c>
      <c r="D12" s="83" t="s">
        <v>605</v>
      </c>
      <c r="E12" s="82" t="s">
        <v>651</v>
      </c>
      <c r="F12" s="82" t="s">
        <v>607</v>
      </c>
    </row>
    <row r="13" spans="1:6" ht="27.95" customHeight="1">
      <c r="A13" s="82" t="s">
        <v>980</v>
      </c>
      <c r="B13" s="85" t="s">
        <v>619</v>
      </c>
      <c r="C13" s="82" t="s">
        <v>650</v>
      </c>
      <c r="D13" s="83" t="s">
        <v>605</v>
      </c>
      <c r="E13" s="82" t="s">
        <v>651</v>
      </c>
      <c r="F13" s="82" t="s">
        <v>607</v>
      </c>
    </row>
    <row r="14" spans="1:6" ht="27.95" customHeight="1">
      <c r="A14" s="82" t="s">
        <v>981</v>
      </c>
      <c r="B14" s="85" t="s">
        <v>619</v>
      </c>
      <c r="C14" s="82" t="s">
        <v>650</v>
      </c>
      <c r="D14" s="83" t="s">
        <v>605</v>
      </c>
      <c r="E14" s="82" t="s">
        <v>651</v>
      </c>
      <c r="F14" s="82" t="s">
        <v>607</v>
      </c>
    </row>
    <row r="15" spans="1:6" ht="27.95" customHeight="1">
      <c r="A15" s="82" t="s">
        <v>982</v>
      </c>
      <c r="B15" s="84" t="s">
        <v>603</v>
      </c>
      <c r="C15" s="82" t="s">
        <v>650</v>
      </c>
      <c r="D15" s="83" t="s">
        <v>605</v>
      </c>
      <c r="E15" s="82" t="s">
        <v>688</v>
      </c>
      <c r="F15" s="82" t="s">
        <v>607</v>
      </c>
    </row>
    <row r="16" spans="1:6" ht="27.95" customHeight="1">
      <c r="A16" s="82" t="s">
        <v>983</v>
      </c>
      <c r="B16" s="85" t="s">
        <v>619</v>
      </c>
      <c r="C16" s="82" t="s">
        <v>650</v>
      </c>
      <c r="D16" s="83" t="s">
        <v>605</v>
      </c>
      <c r="E16" s="82" t="s">
        <v>651</v>
      </c>
      <c r="F16" s="82" t="s">
        <v>607</v>
      </c>
    </row>
    <row r="17" spans="1:6" ht="27.95" customHeight="1">
      <c r="A17" s="82" t="s">
        <v>984</v>
      </c>
      <c r="B17" s="86" t="s">
        <v>615</v>
      </c>
      <c r="C17" s="82" t="s">
        <v>985</v>
      </c>
      <c r="D17" s="83" t="s">
        <v>605</v>
      </c>
      <c r="E17" s="82" t="s">
        <v>825</v>
      </c>
      <c r="F17" s="82" t="s">
        <v>637</v>
      </c>
    </row>
    <row r="18" spans="1:6" ht="27.95" customHeight="1">
      <c r="A18" s="82" t="s">
        <v>986</v>
      </c>
      <c r="B18" s="85" t="s">
        <v>619</v>
      </c>
      <c r="C18" s="82" t="s">
        <v>650</v>
      </c>
      <c r="D18" s="83" t="s">
        <v>605</v>
      </c>
      <c r="E18" s="82" t="s">
        <v>651</v>
      </c>
      <c r="F18" s="82" t="s">
        <v>607</v>
      </c>
    </row>
    <row r="19" spans="1:6" ht="27.95" customHeight="1">
      <c r="A19" s="82" t="s">
        <v>987</v>
      </c>
      <c r="B19" s="86" t="s">
        <v>615</v>
      </c>
      <c r="C19" s="82" t="s">
        <v>988</v>
      </c>
      <c r="D19" s="83" t="s">
        <v>605</v>
      </c>
      <c r="E19" s="82" t="s">
        <v>753</v>
      </c>
      <c r="F19" s="82" t="s">
        <v>637</v>
      </c>
    </row>
    <row r="20" spans="1:6" ht="27.95" customHeight="1">
      <c r="A20" s="82" t="s">
        <v>989</v>
      </c>
      <c r="B20" s="85" t="s">
        <v>619</v>
      </c>
      <c r="C20" s="82" t="s">
        <v>330</v>
      </c>
      <c r="D20" s="83" t="s">
        <v>605</v>
      </c>
      <c r="E20" s="82" t="s">
        <v>620</v>
      </c>
      <c r="F20" s="82" t="s">
        <v>607</v>
      </c>
    </row>
    <row r="21" spans="1:6" ht="27.95" customHeight="1">
      <c r="A21" s="82" t="s">
        <v>990</v>
      </c>
      <c r="B21" s="85" t="s">
        <v>619</v>
      </c>
      <c r="C21" s="82" t="s">
        <v>650</v>
      </c>
      <c r="D21" s="83" t="s">
        <v>605</v>
      </c>
      <c r="E21" s="82" t="s">
        <v>651</v>
      </c>
      <c r="F21" s="82" t="s">
        <v>607</v>
      </c>
    </row>
    <row r="22" spans="1:6" ht="27.95" customHeight="1">
      <c r="A22" s="82" t="s">
        <v>991</v>
      </c>
      <c r="B22" s="85" t="s">
        <v>619</v>
      </c>
      <c r="C22" s="82" t="s">
        <v>650</v>
      </c>
      <c r="D22" s="83" t="s">
        <v>605</v>
      </c>
      <c r="E22" s="82" t="s">
        <v>651</v>
      </c>
      <c r="F22" s="82" t="s">
        <v>607</v>
      </c>
    </row>
    <row r="23" spans="1:6" ht="27.95" customHeight="1">
      <c r="A23" s="82" t="s">
        <v>992</v>
      </c>
      <c r="B23" s="85" t="s">
        <v>619</v>
      </c>
      <c r="C23" s="82" t="s">
        <v>650</v>
      </c>
      <c r="D23" s="83" t="s">
        <v>605</v>
      </c>
      <c r="E23" s="82" t="s">
        <v>651</v>
      </c>
      <c r="F23" s="82" t="s">
        <v>607</v>
      </c>
    </row>
    <row r="24" spans="1:6" ht="27.95" customHeight="1">
      <c r="A24" s="82" t="s">
        <v>993</v>
      </c>
      <c r="B24" s="85" t="s">
        <v>619</v>
      </c>
      <c r="C24" s="82" t="s">
        <v>650</v>
      </c>
      <c r="D24" s="83" t="s">
        <v>605</v>
      </c>
      <c r="E24" s="82" t="s">
        <v>651</v>
      </c>
      <c r="F24" s="82" t="s">
        <v>607</v>
      </c>
    </row>
    <row r="25" spans="1:6" ht="27.95" customHeight="1">
      <c r="A25" s="82" t="s">
        <v>994</v>
      </c>
      <c r="B25" s="85" t="s">
        <v>619</v>
      </c>
      <c r="C25" s="82" t="s">
        <v>650</v>
      </c>
      <c r="D25" s="83" t="s">
        <v>605</v>
      </c>
      <c r="E25" s="82" t="s">
        <v>651</v>
      </c>
      <c r="F25" s="82" t="s">
        <v>607</v>
      </c>
    </row>
    <row r="26" spans="1:6" ht="27.95" customHeight="1">
      <c r="A26" s="82" t="s">
        <v>995</v>
      </c>
      <c r="B26" s="84" t="s">
        <v>603</v>
      </c>
      <c r="C26" s="82" t="s">
        <v>996</v>
      </c>
      <c r="D26" s="83" t="s">
        <v>605</v>
      </c>
      <c r="E26" s="82" t="s">
        <v>997</v>
      </c>
      <c r="F26" s="82" t="s">
        <v>637</v>
      </c>
    </row>
    <row r="27" spans="1:6" ht="27.95" customHeight="1">
      <c r="A27" s="82" t="s">
        <v>998</v>
      </c>
      <c r="B27" s="84" t="s">
        <v>603</v>
      </c>
      <c r="C27" s="82" t="s">
        <v>999</v>
      </c>
      <c r="D27" s="83" t="s">
        <v>605</v>
      </c>
      <c r="E27" s="82" t="s">
        <v>610</v>
      </c>
      <c r="F27" s="82" t="s">
        <v>607</v>
      </c>
    </row>
    <row r="28" spans="1:6" ht="27.95" customHeight="1">
      <c r="A28" s="82" t="s">
        <v>1000</v>
      </c>
      <c r="B28" s="85" t="s">
        <v>619</v>
      </c>
      <c r="C28" s="82" t="s">
        <v>888</v>
      </c>
      <c r="D28" s="83" t="s">
        <v>605</v>
      </c>
      <c r="E28" s="82" t="s">
        <v>620</v>
      </c>
      <c r="F28" s="82" t="s">
        <v>607</v>
      </c>
    </row>
    <row r="29" spans="1:6" ht="27.95" customHeight="1">
      <c r="A29" s="82" t="s">
        <v>1001</v>
      </c>
      <c r="B29" s="85" t="s">
        <v>619</v>
      </c>
      <c r="C29" s="82" t="s">
        <v>650</v>
      </c>
      <c r="D29" s="83" t="s">
        <v>605</v>
      </c>
      <c r="E29" s="82" t="s">
        <v>651</v>
      </c>
      <c r="F29" s="82" t="s">
        <v>607</v>
      </c>
    </row>
    <row r="30" spans="1:6" ht="27.95" customHeight="1">
      <c r="A30" s="82" t="s">
        <v>1002</v>
      </c>
      <c r="B30" s="85" t="s">
        <v>619</v>
      </c>
      <c r="C30" s="82" t="s">
        <v>650</v>
      </c>
      <c r="D30" s="83" t="s">
        <v>605</v>
      </c>
      <c r="E30" s="82" t="s">
        <v>651</v>
      </c>
      <c r="F30" s="82" t="s">
        <v>607</v>
      </c>
    </row>
    <row r="31" spans="1:6" ht="27.95" customHeight="1">
      <c r="A31" s="82" t="s">
        <v>1003</v>
      </c>
      <c r="B31" s="85" t="s">
        <v>619</v>
      </c>
      <c r="C31" s="82" t="s">
        <v>650</v>
      </c>
      <c r="D31" s="83" t="s">
        <v>605</v>
      </c>
      <c r="E31" s="82" t="s">
        <v>651</v>
      </c>
      <c r="F31" s="82" t="s">
        <v>607</v>
      </c>
    </row>
    <row r="32" spans="1:6" ht="27.95" customHeight="1">
      <c r="A32" s="82" t="s">
        <v>1004</v>
      </c>
      <c r="B32" s="84" t="s">
        <v>603</v>
      </c>
      <c r="C32" s="82" t="s">
        <v>1005</v>
      </c>
      <c r="D32" s="83" t="s">
        <v>605</v>
      </c>
      <c r="E32" s="82" t="s">
        <v>1006</v>
      </c>
      <c r="F32" s="82" t="s">
        <v>1007</v>
      </c>
    </row>
    <row r="33" spans="1:6" ht="27.95" customHeight="1">
      <c r="A33" s="82" t="s">
        <v>1008</v>
      </c>
      <c r="B33" s="85" t="s">
        <v>619</v>
      </c>
      <c r="C33" s="82" t="s">
        <v>650</v>
      </c>
      <c r="D33" s="83" t="s">
        <v>605</v>
      </c>
      <c r="E33" s="82" t="s">
        <v>651</v>
      </c>
      <c r="F33" s="82" t="s">
        <v>607</v>
      </c>
    </row>
    <row r="34" spans="1:6" ht="27.95" customHeight="1">
      <c r="A34" s="82" t="s">
        <v>1009</v>
      </c>
      <c r="B34" s="85" t="s">
        <v>619</v>
      </c>
      <c r="C34" s="82" t="s">
        <v>650</v>
      </c>
      <c r="D34" s="83" t="s">
        <v>605</v>
      </c>
      <c r="E34" s="82" t="s">
        <v>651</v>
      </c>
      <c r="F34" s="82" t="s">
        <v>607</v>
      </c>
    </row>
    <row r="35" spans="1:6" ht="27.95" customHeight="1">
      <c r="A35" s="82" t="s">
        <v>1010</v>
      </c>
      <c r="B35" s="85" t="s">
        <v>619</v>
      </c>
      <c r="C35" s="82" t="s">
        <v>650</v>
      </c>
      <c r="D35" s="83" t="s">
        <v>605</v>
      </c>
      <c r="E35" s="82" t="s">
        <v>651</v>
      </c>
      <c r="F35" s="82" t="s">
        <v>607</v>
      </c>
    </row>
    <row r="36" spans="1:6" ht="27.95" customHeight="1">
      <c r="A36" s="82" t="s">
        <v>1011</v>
      </c>
      <c r="B36" s="85" t="s">
        <v>619</v>
      </c>
      <c r="C36" s="82" t="s">
        <v>650</v>
      </c>
      <c r="D36" s="83" t="s">
        <v>605</v>
      </c>
      <c r="E36" s="82" t="s">
        <v>651</v>
      </c>
      <c r="F36" s="82" t="s">
        <v>607</v>
      </c>
    </row>
    <row r="37" spans="1:6" ht="27.95" customHeight="1">
      <c r="A37" s="82" t="s">
        <v>1012</v>
      </c>
      <c r="B37" s="85" t="s">
        <v>619</v>
      </c>
      <c r="C37" s="82" t="s">
        <v>650</v>
      </c>
      <c r="D37" s="83" t="s">
        <v>605</v>
      </c>
      <c r="E37" s="82" t="s">
        <v>651</v>
      </c>
      <c r="F37" s="82" t="s">
        <v>607</v>
      </c>
    </row>
    <row r="38" spans="1:6" ht="27.95" customHeight="1">
      <c r="A38" s="82" t="s">
        <v>1013</v>
      </c>
      <c r="B38" s="85" t="s">
        <v>619</v>
      </c>
      <c r="C38" s="82" t="s">
        <v>650</v>
      </c>
      <c r="D38" s="83" t="s">
        <v>605</v>
      </c>
      <c r="E38" s="82" t="s">
        <v>651</v>
      </c>
      <c r="F38" s="82" t="s">
        <v>607</v>
      </c>
    </row>
    <row r="39" spans="1:6" ht="27.95" customHeight="1">
      <c r="A39" s="82" t="s">
        <v>1014</v>
      </c>
      <c r="B39" s="84" t="s">
        <v>603</v>
      </c>
      <c r="C39" s="82" t="s">
        <v>1015</v>
      </c>
      <c r="D39" s="83" t="s">
        <v>605</v>
      </c>
      <c r="E39" s="82" t="s">
        <v>610</v>
      </c>
      <c r="F39" s="82" t="s">
        <v>607</v>
      </c>
    </row>
    <row r="40" spans="1:6" ht="27.95" customHeight="1">
      <c r="A40" s="82" t="s">
        <v>1016</v>
      </c>
      <c r="B40" s="85" t="s">
        <v>619</v>
      </c>
      <c r="C40" s="82" t="s">
        <v>650</v>
      </c>
      <c r="D40" s="83" t="s">
        <v>605</v>
      </c>
      <c r="E40" s="82" t="s">
        <v>651</v>
      </c>
      <c r="F40" s="82" t="s">
        <v>607</v>
      </c>
    </row>
    <row r="41" spans="1:6" ht="27.95" customHeight="1">
      <c r="A41" s="82" t="s">
        <v>55</v>
      </c>
      <c r="B41" s="86" t="s">
        <v>615</v>
      </c>
      <c r="C41" s="82" t="s">
        <v>34</v>
      </c>
      <c r="D41" s="83" t="s">
        <v>605</v>
      </c>
      <c r="E41" s="82" t="s">
        <v>617</v>
      </c>
      <c r="F41" s="82" t="s">
        <v>607</v>
      </c>
    </row>
    <row r="42" spans="1:6" ht="27.95" customHeight="1">
      <c r="A42" s="82" t="s">
        <v>1017</v>
      </c>
      <c r="B42" s="85" t="s">
        <v>619</v>
      </c>
      <c r="C42" s="82" t="s">
        <v>650</v>
      </c>
      <c r="D42" s="83" t="s">
        <v>605</v>
      </c>
      <c r="E42" s="82" t="s">
        <v>651</v>
      </c>
      <c r="F42" s="82" t="s">
        <v>607</v>
      </c>
    </row>
    <row r="43" spans="1:6" ht="27.95" customHeight="1">
      <c r="A43" s="82" t="s">
        <v>1018</v>
      </c>
      <c r="B43" s="85" t="s">
        <v>619</v>
      </c>
      <c r="C43" s="82" t="s">
        <v>650</v>
      </c>
      <c r="D43" s="83" t="s">
        <v>605</v>
      </c>
      <c r="E43" s="82" t="s">
        <v>651</v>
      </c>
      <c r="F43" s="82" t="s">
        <v>607</v>
      </c>
    </row>
    <row r="44" spans="1:6" ht="27.95" customHeight="1">
      <c r="A44" s="82" t="s">
        <v>1019</v>
      </c>
      <c r="B44" s="85" t="s">
        <v>619</v>
      </c>
      <c r="C44" s="82" t="s">
        <v>1020</v>
      </c>
      <c r="D44" s="83" t="s">
        <v>605</v>
      </c>
      <c r="E44" s="82" t="s">
        <v>620</v>
      </c>
      <c r="F44" s="82" t="s">
        <v>1021</v>
      </c>
    </row>
    <row r="45" spans="1:6" ht="27.95" customHeight="1">
      <c r="A45" s="82" t="s">
        <v>1022</v>
      </c>
      <c r="B45" s="85" t="s">
        <v>619</v>
      </c>
      <c r="C45" s="82" t="s">
        <v>650</v>
      </c>
      <c r="D45" s="83" t="s">
        <v>605</v>
      </c>
      <c r="E45" s="82" t="s">
        <v>651</v>
      </c>
      <c r="F45" s="82" t="s">
        <v>607</v>
      </c>
    </row>
    <row r="46" spans="1:6" ht="27.95" customHeight="1">
      <c r="A46" s="82" t="s">
        <v>1023</v>
      </c>
      <c r="B46" s="84" t="s">
        <v>603</v>
      </c>
      <c r="C46" s="82" t="s">
        <v>34</v>
      </c>
      <c r="D46" s="83" t="s">
        <v>605</v>
      </c>
      <c r="E46" s="82" t="s">
        <v>606</v>
      </c>
      <c r="F46" s="82" t="s">
        <v>607</v>
      </c>
    </row>
    <row r="47" spans="1:6" ht="27.95" customHeight="1">
      <c r="A47" s="82" t="s">
        <v>1024</v>
      </c>
      <c r="B47" s="84" t="s">
        <v>603</v>
      </c>
      <c r="C47" s="82" t="s">
        <v>626</v>
      </c>
      <c r="D47" s="83" t="s">
        <v>605</v>
      </c>
      <c r="E47" s="82" t="s">
        <v>683</v>
      </c>
      <c r="F47" s="82" t="s">
        <v>607</v>
      </c>
    </row>
    <row r="48" spans="1:6" ht="27.95" customHeight="1">
      <c r="A48" s="82" t="s">
        <v>1025</v>
      </c>
      <c r="B48" s="85" t="s">
        <v>619</v>
      </c>
      <c r="C48" s="82" t="s">
        <v>1026</v>
      </c>
      <c r="D48" s="83" t="s">
        <v>605</v>
      </c>
      <c r="E48" s="82" t="s">
        <v>620</v>
      </c>
      <c r="F48" s="82" t="s">
        <v>607</v>
      </c>
    </row>
    <row r="49" spans="1:6" ht="27.95" customHeight="1">
      <c r="A49" s="82" t="s">
        <v>1027</v>
      </c>
      <c r="B49" s="85" t="s">
        <v>619</v>
      </c>
      <c r="C49" s="82" t="s">
        <v>650</v>
      </c>
      <c r="D49" s="83" t="s">
        <v>605</v>
      </c>
      <c r="E49" s="82" t="s">
        <v>651</v>
      </c>
      <c r="F49" s="82" t="s">
        <v>607</v>
      </c>
    </row>
    <row r="50" spans="1:6" ht="27.95" customHeight="1">
      <c r="A50" s="82" t="s">
        <v>1028</v>
      </c>
      <c r="B50" s="86" t="s">
        <v>615</v>
      </c>
      <c r="C50" s="82" t="s">
        <v>1029</v>
      </c>
      <c r="D50" s="83" t="s">
        <v>605</v>
      </c>
      <c r="E50" s="82" t="s">
        <v>630</v>
      </c>
      <c r="F50" s="82" t="s">
        <v>1030</v>
      </c>
    </row>
    <row r="51" spans="1:6" ht="27.95" customHeight="1">
      <c r="A51" s="82" t="s">
        <v>1031</v>
      </c>
      <c r="B51" s="85" t="s">
        <v>619</v>
      </c>
      <c r="C51" s="82" t="s">
        <v>650</v>
      </c>
      <c r="D51" s="83" t="s">
        <v>605</v>
      </c>
      <c r="E51" s="82" t="s">
        <v>651</v>
      </c>
      <c r="F51" s="82" t="s">
        <v>607</v>
      </c>
    </row>
    <row r="52" spans="1:6" ht="27.95" customHeight="1">
      <c r="A52" s="82" t="s">
        <v>1032</v>
      </c>
      <c r="B52" s="84" t="s">
        <v>603</v>
      </c>
      <c r="C52" s="82" t="s">
        <v>1033</v>
      </c>
      <c r="D52" s="83" t="s">
        <v>605</v>
      </c>
      <c r="E52" s="82" t="s">
        <v>731</v>
      </c>
      <c r="F52" s="82" t="s">
        <v>1034</v>
      </c>
    </row>
    <row r="53" spans="1:6" ht="27.95" customHeight="1">
      <c r="A53" s="82" t="s">
        <v>1035</v>
      </c>
      <c r="B53" s="85" t="s">
        <v>619</v>
      </c>
      <c r="C53" s="82" t="s">
        <v>650</v>
      </c>
      <c r="D53" s="83" t="s">
        <v>605</v>
      </c>
      <c r="E53" s="82" t="s">
        <v>651</v>
      </c>
      <c r="F53" s="82" t="s">
        <v>607</v>
      </c>
    </row>
    <row r="54" spans="1:6" ht="27.95" customHeight="1">
      <c r="A54" s="82" t="s">
        <v>1036</v>
      </c>
      <c r="B54" s="84" t="s">
        <v>603</v>
      </c>
      <c r="C54" s="82" t="s">
        <v>1037</v>
      </c>
      <c r="D54" s="83" t="s">
        <v>605</v>
      </c>
      <c r="E54" s="82" t="s">
        <v>1038</v>
      </c>
      <c r="F54" s="82" t="s">
        <v>637</v>
      </c>
    </row>
    <row r="55" spans="1:6" ht="27.95" customHeight="1">
      <c r="A55" s="82" t="s">
        <v>1039</v>
      </c>
      <c r="B55" s="85" t="s">
        <v>619</v>
      </c>
      <c r="C55" s="82" t="s">
        <v>650</v>
      </c>
      <c r="D55" s="83" t="s">
        <v>605</v>
      </c>
      <c r="E55" s="82" t="s">
        <v>651</v>
      </c>
      <c r="F55" s="82" t="s">
        <v>607</v>
      </c>
    </row>
    <row r="56" spans="1:6" ht="27.95" customHeight="1">
      <c r="A56" s="82" t="s">
        <v>1040</v>
      </c>
      <c r="B56" s="84" t="s">
        <v>603</v>
      </c>
      <c r="C56" s="82" t="s">
        <v>888</v>
      </c>
      <c r="D56" s="83" t="s">
        <v>605</v>
      </c>
      <c r="E56" s="82" t="s">
        <v>606</v>
      </c>
      <c r="F56" s="82" t="s">
        <v>607</v>
      </c>
    </row>
    <row r="57" spans="1:6" ht="27.95" customHeight="1">
      <c r="A57" s="82" t="s">
        <v>1041</v>
      </c>
      <c r="B57" s="85" t="s">
        <v>619</v>
      </c>
      <c r="C57" s="82" t="s">
        <v>650</v>
      </c>
      <c r="D57" s="83" t="s">
        <v>605</v>
      </c>
      <c r="E57" s="82" t="s">
        <v>651</v>
      </c>
      <c r="F57" s="82" t="s">
        <v>607</v>
      </c>
    </row>
    <row r="58" spans="1:6" ht="27.95" customHeight="1">
      <c r="A58" s="82" t="s">
        <v>1042</v>
      </c>
      <c r="B58" s="85" t="s">
        <v>619</v>
      </c>
      <c r="C58" s="82" t="s">
        <v>650</v>
      </c>
      <c r="D58" s="83" t="s">
        <v>605</v>
      </c>
      <c r="E58" s="82" t="s">
        <v>651</v>
      </c>
      <c r="F58" s="82" t="s">
        <v>607</v>
      </c>
    </row>
    <row r="59" spans="1:6" ht="27.95" customHeight="1">
      <c r="A59" s="82" t="s">
        <v>1043</v>
      </c>
      <c r="B59" s="85" t="s">
        <v>619</v>
      </c>
      <c r="C59" s="82" t="s">
        <v>650</v>
      </c>
      <c r="D59" s="83" t="s">
        <v>605</v>
      </c>
      <c r="E59" s="82" t="s">
        <v>651</v>
      </c>
      <c r="F59" s="82" t="s">
        <v>607</v>
      </c>
    </row>
    <row r="60" spans="1:6" ht="27.95" customHeight="1">
      <c r="A60" s="82" t="s">
        <v>1044</v>
      </c>
      <c r="B60" s="85" t="s">
        <v>619</v>
      </c>
      <c r="C60" s="82" t="s">
        <v>650</v>
      </c>
      <c r="D60" s="83" t="s">
        <v>605</v>
      </c>
      <c r="E60" s="82" t="s">
        <v>651</v>
      </c>
      <c r="F60" s="82" t="s">
        <v>607</v>
      </c>
    </row>
    <row r="61" spans="1:6" ht="27.95" customHeight="1">
      <c r="A61" s="82" t="s">
        <v>1045</v>
      </c>
      <c r="B61" s="85" t="s">
        <v>619</v>
      </c>
      <c r="C61" s="82" t="s">
        <v>650</v>
      </c>
      <c r="D61" s="83" t="s">
        <v>605</v>
      </c>
      <c r="E61" s="82" t="s">
        <v>651</v>
      </c>
      <c r="F61" s="82" t="s">
        <v>607</v>
      </c>
    </row>
    <row r="62" spans="1:6" ht="27.95" customHeight="1">
      <c r="A62" s="82" t="s">
        <v>1046</v>
      </c>
      <c r="B62" s="84" t="s">
        <v>603</v>
      </c>
      <c r="C62" s="82" t="s">
        <v>650</v>
      </c>
      <c r="D62" s="83" t="s">
        <v>605</v>
      </c>
      <c r="E62" s="82" t="s">
        <v>1047</v>
      </c>
      <c r="F62" s="82" t="s">
        <v>607</v>
      </c>
    </row>
    <row r="63" spans="1:6" ht="27.95" customHeight="1">
      <c r="A63" s="82" t="s">
        <v>1048</v>
      </c>
      <c r="B63" s="85" t="s">
        <v>619</v>
      </c>
      <c r="C63" s="82" t="s">
        <v>622</v>
      </c>
      <c r="D63" s="83" t="s">
        <v>605</v>
      </c>
      <c r="E63" s="82" t="s">
        <v>620</v>
      </c>
      <c r="F63" s="82" t="s">
        <v>607</v>
      </c>
    </row>
    <row r="64" spans="1:6" ht="27.95" customHeight="1">
      <c r="A64" s="82" t="s">
        <v>1049</v>
      </c>
      <c r="B64" s="85" t="s">
        <v>619</v>
      </c>
      <c r="C64" s="82" t="s">
        <v>645</v>
      </c>
      <c r="D64" s="83" t="s">
        <v>605</v>
      </c>
      <c r="E64" s="82" t="s">
        <v>620</v>
      </c>
      <c r="F64" s="82" t="s">
        <v>607</v>
      </c>
    </row>
    <row r="65" spans="1:6" ht="27.95" customHeight="1">
      <c r="A65" s="82" t="s">
        <v>1050</v>
      </c>
      <c r="B65" s="85" t="s">
        <v>619</v>
      </c>
      <c r="C65" s="82" t="s">
        <v>888</v>
      </c>
      <c r="D65" s="83" t="s">
        <v>605</v>
      </c>
      <c r="E65" s="82" t="s">
        <v>620</v>
      </c>
      <c r="F65" s="82" t="s">
        <v>607</v>
      </c>
    </row>
    <row r="66" spans="1:6" ht="27.95" customHeight="1">
      <c r="A66" s="82" t="s">
        <v>1051</v>
      </c>
      <c r="B66" s="85" t="s">
        <v>619</v>
      </c>
      <c r="C66" s="82" t="s">
        <v>650</v>
      </c>
      <c r="D66" s="83" t="s">
        <v>605</v>
      </c>
      <c r="E66" s="82" t="s">
        <v>651</v>
      </c>
      <c r="F66" s="82" t="s">
        <v>607</v>
      </c>
    </row>
    <row r="67" spans="1:6" ht="27.95" customHeight="1">
      <c r="A67" s="82" t="s">
        <v>1052</v>
      </c>
      <c r="B67" s="85" t="s">
        <v>619</v>
      </c>
      <c r="C67" s="90" t="s">
        <v>888</v>
      </c>
      <c r="D67" s="91" t="s">
        <v>605</v>
      </c>
      <c r="E67" s="82" t="s">
        <v>620</v>
      </c>
      <c r="F67" s="82" t="s">
        <v>607</v>
      </c>
    </row>
    <row r="68" spans="1:6" ht="27.95" customHeight="1">
      <c r="A68" s="82" t="s">
        <v>1053</v>
      </c>
      <c r="B68" s="85" t="s">
        <v>619</v>
      </c>
      <c r="C68" s="93" t="s">
        <v>650</v>
      </c>
      <c r="D68" s="83" t="s">
        <v>605</v>
      </c>
      <c r="E68" s="82" t="s">
        <v>651</v>
      </c>
      <c r="F68" s="82" t="s">
        <v>607</v>
      </c>
    </row>
    <row r="69" spans="1:6" ht="27.95" customHeight="1">
      <c r="A69" s="82" t="s">
        <v>1054</v>
      </c>
      <c r="B69" s="85" t="s">
        <v>619</v>
      </c>
      <c r="C69" s="93" t="s">
        <v>650</v>
      </c>
      <c r="D69" s="83" t="s">
        <v>605</v>
      </c>
      <c r="E69" s="82" t="s">
        <v>651</v>
      </c>
      <c r="F69" s="82" t="s">
        <v>607</v>
      </c>
    </row>
    <row r="70" spans="1:6" ht="27.95" customHeight="1">
      <c r="A70" s="82" t="s">
        <v>1055</v>
      </c>
      <c r="B70" s="85" t="s">
        <v>619</v>
      </c>
      <c r="C70" s="82" t="s">
        <v>650</v>
      </c>
      <c r="D70" s="83" t="s">
        <v>605</v>
      </c>
      <c r="E70" s="82" t="s">
        <v>651</v>
      </c>
      <c r="F70" s="82" t="s">
        <v>607</v>
      </c>
    </row>
    <row r="71" spans="1:6" ht="27.95" customHeight="1">
      <c r="A71" s="82" t="s">
        <v>1056</v>
      </c>
      <c r="B71" s="84" t="s">
        <v>603</v>
      </c>
      <c r="C71" s="93" t="s">
        <v>1057</v>
      </c>
      <c r="D71" s="83" t="s">
        <v>605</v>
      </c>
      <c r="E71" s="82" t="s">
        <v>1058</v>
      </c>
      <c r="F71" s="82" t="s">
        <v>637</v>
      </c>
    </row>
    <row r="72" spans="1:6" ht="27.95" customHeight="1">
      <c r="A72" s="82" t="s">
        <v>1059</v>
      </c>
      <c r="B72" s="84" t="s">
        <v>603</v>
      </c>
      <c r="C72" s="82" t="s">
        <v>650</v>
      </c>
      <c r="D72" s="83" t="s">
        <v>605</v>
      </c>
      <c r="E72" s="82" t="s">
        <v>688</v>
      </c>
      <c r="F72" s="82" t="s">
        <v>607</v>
      </c>
    </row>
    <row r="73" spans="1:6" ht="27.95" customHeight="1">
      <c r="A73" s="82" t="s">
        <v>118</v>
      </c>
      <c r="B73" s="84" t="s">
        <v>603</v>
      </c>
      <c r="C73" s="82" t="s">
        <v>1060</v>
      </c>
      <c r="D73" s="83" t="s">
        <v>605</v>
      </c>
      <c r="E73" s="82" t="s">
        <v>610</v>
      </c>
      <c r="F73" s="82" t="s">
        <v>1021</v>
      </c>
    </row>
    <row r="74" spans="1:6" ht="27.95" customHeight="1">
      <c r="A74" s="82" t="s">
        <v>1061</v>
      </c>
      <c r="B74" s="85" t="s">
        <v>619</v>
      </c>
      <c r="C74" s="82" t="s">
        <v>650</v>
      </c>
      <c r="D74" s="83" t="s">
        <v>605</v>
      </c>
      <c r="E74" s="82" t="s">
        <v>651</v>
      </c>
      <c r="F74" s="82" t="s">
        <v>607</v>
      </c>
    </row>
    <row r="75" spans="1:6" ht="27.95" customHeight="1">
      <c r="A75" s="82" t="s">
        <v>1062</v>
      </c>
      <c r="B75" s="85" t="s">
        <v>619</v>
      </c>
      <c r="C75" s="82" t="s">
        <v>650</v>
      </c>
      <c r="D75" s="83" t="s">
        <v>605</v>
      </c>
      <c r="E75" s="82" t="s">
        <v>651</v>
      </c>
      <c r="F75" s="82" t="s">
        <v>607</v>
      </c>
    </row>
    <row r="77" spans="1:6" ht="15">
      <c r="C77" s="88" t="s">
        <v>633</v>
      </c>
      <c r="D77" s="89" t="str">
        <f>COUNTIF(D2:D75,"☑")&amp;" / "&amp;COUNTA(A2:A75)</f>
        <v>0 / 74</v>
      </c>
    </row>
  </sheetData>
  <conditionalFormatting sqref="B2:B65">
    <cfRule type="expression" dxfId="129" priority="1">
      <formula>B2="A"</formula>
    </cfRule>
    <cfRule type="expression" dxfId="128" priority="2">
      <formula>B2="B"</formula>
    </cfRule>
    <cfRule type="expression" dxfId="127" priority="3">
      <formula>B2="C"</formula>
    </cfRule>
  </conditionalFormatting>
  <conditionalFormatting sqref="D2:D69">
    <cfRule type="expression" dxfId="126" priority="4">
      <formula>D2="☑"</formula>
    </cfRule>
  </conditionalFormatting>
  <conditionalFormatting sqref="D2:D75">
    <cfRule type="expression" dxfId="125" priority="9">
      <formula>D2="☑"</formula>
    </cfRule>
  </conditionalFormatting>
  <dataValidations count="1">
    <dataValidation type="list" sqref="D2:D75" xr:uid="{00000000-0002-0000-0C00-000000000000}">
      <formula1>"☐,☑"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5"/>
  <sheetViews>
    <sheetView workbookViewId="0"/>
  </sheetViews>
  <sheetFormatPr defaultRowHeight="14.25"/>
  <cols>
    <col min="1" max="1" width="34" customWidth="1"/>
    <col min="2" max="2" width="10" customWidth="1"/>
    <col min="3" max="3" width="50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81" t="s">
        <v>598</v>
      </c>
      <c r="B1" s="81" t="s">
        <v>599</v>
      </c>
      <c r="C1" s="81" t="s">
        <v>13</v>
      </c>
      <c r="D1" s="81" t="s">
        <v>3</v>
      </c>
      <c r="E1" s="81" t="s">
        <v>600</v>
      </c>
      <c r="F1" s="81" t="s">
        <v>601</v>
      </c>
    </row>
    <row r="2" spans="1:6" ht="27.95" customHeight="1">
      <c r="A2" s="82" t="s">
        <v>1063</v>
      </c>
      <c r="B2" s="85" t="s">
        <v>619</v>
      </c>
      <c r="C2" s="82" t="s">
        <v>650</v>
      </c>
      <c r="D2" s="83" t="s">
        <v>605</v>
      </c>
      <c r="E2" s="82" t="s">
        <v>651</v>
      </c>
      <c r="F2" s="82" t="s">
        <v>607</v>
      </c>
    </row>
    <row r="3" spans="1:6" ht="27.95" customHeight="1">
      <c r="A3" s="82" t="s">
        <v>1064</v>
      </c>
      <c r="B3" s="85" t="s">
        <v>619</v>
      </c>
      <c r="C3" s="82" t="s">
        <v>650</v>
      </c>
      <c r="D3" s="83" t="s">
        <v>605</v>
      </c>
      <c r="E3" s="82" t="s">
        <v>651</v>
      </c>
      <c r="F3" s="82" t="s">
        <v>607</v>
      </c>
    </row>
    <row r="4" spans="1:6" ht="27.95" customHeight="1">
      <c r="A4" s="82" t="s">
        <v>1065</v>
      </c>
      <c r="B4" s="85" t="s">
        <v>619</v>
      </c>
      <c r="C4" s="82" t="s">
        <v>650</v>
      </c>
      <c r="D4" s="83" t="s">
        <v>605</v>
      </c>
      <c r="E4" s="82" t="s">
        <v>651</v>
      </c>
      <c r="F4" s="82" t="s">
        <v>607</v>
      </c>
    </row>
    <row r="5" spans="1:6" ht="27.95" customHeight="1">
      <c r="A5" s="82" t="s">
        <v>1066</v>
      </c>
      <c r="B5" s="85" t="s">
        <v>619</v>
      </c>
      <c r="C5" s="82" t="s">
        <v>650</v>
      </c>
      <c r="D5" s="83" t="s">
        <v>605</v>
      </c>
      <c r="E5" s="82" t="s">
        <v>651</v>
      </c>
      <c r="F5" s="82" t="s">
        <v>607</v>
      </c>
    </row>
    <row r="6" spans="1:6" ht="27.95" customHeight="1">
      <c r="A6" s="82" t="s">
        <v>1067</v>
      </c>
      <c r="B6" s="85" t="s">
        <v>619</v>
      </c>
      <c r="C6" s="82" t="s">
        <v>650</v>
      </c>
      <c r="D6" s="83" t="s">
        <v>605</v>
      </c>
      <c r="E6" s="82" t="s">
        <v>651</v>
      </c>
      <c r="F6" s="82" t="s">
        <v>607</v>
      </c>
    </row>
    <row r="7" spans="1:6" ht="27.95" customHeight="1">
      <c r="A7" s="82" t="s">
        <v>1068</v>
      </c>
      <c r="B7" s="84" t="s">
        <v>603</v>
      </c>
      <c r="C7" s="82" t="s">
        <v>609</v>
      </c>
      <c r="D7" s="83" t="s">
        <v>605</v>
      </c>
      <c r="E7" s="82" t="s">
        <v>606</v>
      </c>
      <c r="F7" s="82" t="s">
        <v>607</v>
      </c>
    </row>
    <row r="8" spans="1:6" ht="27.95" customHeight="1">
      <c r="A8" s="82" t="s">
        <v>1069</v>
      </c>
      <c r="B8" s="85" t="s">
        <v>619</v>
      </c>
      <c r="C8" s="82" t="s">
        <v>888</v>
      </c>
      <c r="D8" s="83" t="s">
        <v>605</v>
      </c>
      <c r="E8" s="82" t="s">
        <v>620</v>
      </c>
      <c r="F8" s="82" t="s">
        <v>607</v>
      </c>
    </row>
    <row r="9" spans="1:6" ht="27.95" customHeight="1">
      <c r="A9" s="82" t="s">
        <v>1070</v>
      </c>
      <c r="B9" s="84" t="s">
        <v>603</v>
      </c>
      <c r="C9" s="82" t="s">
        <v>1071</v>
      </c>
      <c r="D9" s="83" t="s">
        <v>605</v>
      </c>
      <c r="E9" s="82" t="s">
        <v>606</v>
      </c>
      <c r="F9" s="82" t="s">
        <v>691</v>
      </c>
    </row>
    <row r="10" spans="1:6" ht="27.95" customHeight="1">
      <c r="A10" s="82" t="s">
        <v>1072</v>
      </c>
      <c r="B10" s="85" t="s">
        <v>619</v>
      </c>
      <c r="C10" s="82" t="s">
        <v>650</v>
      </c>
      <c r="D10" s="83" t="s">
        <v>605</v>
      </c>
      <c r="E10" s="82" t="s">
        <v>651</v>
      </c>
      <c r="F10" s="82" t="s">
        <v>607</v>
      </c>
    </row>
    <row r="11" spans="1:6" ht="27.95" customHeight="1">
      <c r="A11" s="82" t="s">
        <v>1073</v>
      </c>
      <c r="B11" s="85" t="s">
        <v>619</v>
      </c>
      <c r="C11" s="82" t="s">
        <v>650</v>
      </c>
      <c r="D11" s="83" t="s">
        <v>605</v>
      </c>
      <c r="E11" s="82" t="s">
        <v>651</v>
      </c>
      <c r="F11" s="82" t="s">
        <v>607</v>
      </c>
    </row>
    <row r="12" spans="1:6" ht="27.95" customHeight="1">
      <c r="A12" s="82" t="s">
        <v>1074</v>
      </c>
      <c r="B12" s="84" t="s">
        <v>603</v>
      </c>
      <c r="C12" s="82" t="s">
        <v>1075</v>
      </c>
      <c r="D12" s="83" t="s">
        <v>605</v>
      </c>
      <c r="E12" s="82" t="s">
        <v>606</v>
      </c>
      <c r="F12" s="82" t="s">
        <v>691</v>
      </c>
    </row>
    <row r="13" spans="1:6" ht="27.95" customHeight="1">
      <c r="A13" s="82" t="s">
        <v>1076</v>
      </c>
      <c r="B13" s="84" t="s">
        <v>603</v>
      </c>
      <c r="C13" s="82" t="s">
        <v>1077</v>
      </c>
      <c r="D13" s="83" t="s">
        <v>605</v>
      </c>
      <c r="E13" s="82" t="s">
        <v>636</v>
      </c>
      <c r="F13" s="82" t="s">
        <v>1078</v>
      </c>
    </row>
    <row r="14" spans="1:6" ht="27.95" customHeight="1">
      <c r="A14" s="82" t="s">
        <v>1079</v>
      </c>
      <c r="B14" s="85" t="s">
        <v>619</v>
      </c>
      <c r="C14" s="82" t="s">
        <v>888</v>
      </c>
      <c r="D14" s="83" t="s">
        <v>605</v>
      </c>
      <c r="E14" s="82" t="s">
        <v>620</v>
      </c>
      <c r="F14" s="82" t="s">
        <v>607</v>
      </c>
    </row>
    <row r="15" spans="1:6" ht="27.95" customHeight="1">
      <c r="A15" s="82" t="s">
        <v>1080</v>
      </c>
      <c r="B15" s="84" t="s">
        <v>603</v>
      </c>
      <c r="C15" s="82" t="s">
        <v>1081</v>
      </c>
      <c r="D15" s="83" t="s">
        <v>605</v>
      </c>
      <c r="E15" s="82" t="s">
        <v>815</v>
      </c>
      <c r="F15" s="82" t="s">
        <v>1082</v>
      </c>
    </row>
    <row r="16" spans="1:6" ht="27.95" customHeight="1">
      <c r="A16" s="82" t="s">
        <v>1083</v>
      </c>
      <c r="B16" s="84" t="s">
        <v>603</v>
      </c>
      <c r="C16" s="82" t="s">
        <v>1084</v>
      </c>
      <c r="D16" s="83" t="s">
        <v>605</v>
      </c>
      <c r="E16" s="82" t="s">
        <v>1085</v>
      </c>
      <c r="F16" s="82" t="s">
        <v>637</v>
      </c>
    </row>
    <row r="17" spans="1:6" ht="27.95" customHeight="1">
      <c r="A17" s="82" t="s">
        <v>1086</v>
      </c>
      <c r="B17" s="85" t="s">
        <v>619</v>
      </c>
      <c r="C17" s="82" t="s">
        <v>888</v>
      </c>
      <c r="D17" s="83" t="s">
        <v>605</v>
      </c>
      <c r="E17" s="82" t="s">
        <v>620</v>
      </c>
      <c r="F17" s="82" t="s">
        <v>607</v>
      </c>
    </row>
    <row r="18" spans="1:6" ht="27.95" customHeight="1">
      <c r="A18" s="82" t="s">
        <v>1087</v>
      </c>
      <c r="B18" s="85" t="s">
        <v>619</v>
      </c>
      <c r="C18" s="82" t="s">
        <v>888</v>
      </c>
      <c r="D18" s="83" t="s">
        <v>605</v>
      </c>
      <c r="E18" s="82" t="s">
        <v>620</v>
      </c>
      <c r="F18" s="82" t="s">
        <v>607</v>
      </c>
    </row>
    <row r="19" spans="1:6" ht="27.95" customHeight="1">
      <c r="A19" s="82" t="s">
        <v>1088</v>
      </c>
      <c r="B19" s="84" t="s">
        <v>603</v>
      </c>
      <c r="C19" s="82" t="s">
        <v>727</v>
      </c>
      <c r="D19" s="83" t="s">
        <v>605</v>
      </c>
      <c r="E19" s="82" t="s">
        <v>610</v>
      </c>
      <c r="F19" s="82" t="s">
        <v>607</v>
      </c>
    </row>
    <row r="20" spans="1:6" ht="27.95" customHeight="1">
      <c r="A20" s="82" t="s">
        <v>1089</v>
      </c>
      <c r="B20" s="84" t="s">
        <v>603</v>
      </c>
      <c r="C20" s="82" t="s">
        <v>727</v>
      </c>
      <c r="D20" s="83" t="s">
        <v>605</v>
      </c>
      <c r="E20" s="82" t="s">
        <v>610</v>
      </c>
      <c r="F20" s="82" t="s">
        <v>607</v>
      </c>
    </row>
    <row r="21" spans="1:6" ht="27.95" customHeight="1">
      <c r="A21" s="82" t="s">
        <v>1090</v>
      </c>
      <c r="B21" s="86" t="s">
        <v>615</v>
      </c>
      <c r="C21" s="82" t="s">
        <v>1091</v>
      </c>
      <c r="D21" s="83" t="s">
        <v>605</v>
      </c>
      <c r="E21" s="82" t="s">
        <v>617</v>
      </c>
      <c r="F21" s="82" t="s">
        <v>1092</v>
      </c>
    </row>
    <row r="22" spans="1:6" ht="27.95" customHeight="1">
      <c r="A22" s="82" t="s">
        <v>339</v>
      </c>
      <c r="B22" s="84" t="s">
        <v>603</v>
      </c>
      <c r="C22" s="82" t="s">
        <v>1093</v>
      </c>
      <c r="D22" s="83" t="s">
        <v>605</v>
      </c>
      <c r="E22" s="82" t="s">
        <v>610</v>
      </c>
      <c r="F22" s="82" t="s">
        <v>1094</v>
      </c>
    </row>
    <row r="23" spans="1:6" ht="27.95" customHeight="1">
      <c r="A23" s="82" t="s">
        <v>1095</v>
      </c>
      <c r="B23" s="85" t="s">
        <v>619</v>
      </c>
      <c r="C23" s="82" t="s">
        <v>650</v>
      </c>
      <c r="D23" s="83" t="s">
        <v>605</v>
      </c>
      <c r="E23" s="82" t="s">
        <v>651</v>
      </c>
      <c r="F23" s="82" t="s">
        <v>607</v>
      </c>
    </row>
    <row r="24" spans="1:6" ht="27.95" customHeight="1">
      <c r="A24" s="82" t="s">
        <v>1096</v>
      </c>
      <c r="B24" s="84" t="s">
        <v>603</v>
      </c>
      <c r="C24" s="82" t="s">
        <v>1097</v>
      </c>
      <c r="D24" s="83" t="s">
        <v>605</v>
      </c>
      <c r="E24" s="82" t="s">
        <v>1098</v>
      </c>
      <c r="F24" s="82" t="s">
        <v>637</v>
      </c>
    </row>
    <row r="25" spans="1:6" ht="27.95" customHeight="1">
      <c r="A25" s="82" t="s">
        <v>1099</v>
      </c>
      <c r="B25" s="84" t="s">
        <v>603</v>
      </c>
      <c r="C25" s="82" t="s">
        <v>1100</v>
      </c>
      <c r="D25" s="83" t="s">
        <v>605</v>
      </c>
      <c r="E25" s="82" t="s">
        <v>606</v>
      </c>
      <c r="F25" s="82" t="s">
        <v>1101</v>
      </c>
    </row>
    <row r="26" spans="1:6" ht="27.95" customHeight="1">
      <c r="A26" s="82" t="s">
        <v>1102</v>
      </c>
      <c r="B26" s="84" t="s">
        <v>603</v>
      </c>
      <c r="C26" s="82" t="s">
        <v>632</v>
      </c>
      <c r="D26" s="83" t="s">
        <v>605</v>
      </c>
      <c r="E26" s="82" t="s">
        <v>610</v>
      </c>
      <c r="F26" s="82" t="s">
        <v>607</v>
      </c>
    </row>
    <row r="27" spans="1:6" ht="27.95" customHeight="1">
      <c r="A27" s="82" t="s">
        <v>1103</v>
      </c>
      <c r="B27" s="85" t="s">
        <v>619</v>
      </c>
      <c r="C27" s="82" t="s">
        <v>888</v>
      </c>
      <c r="D27" s="83" t="s">
        <v>605</v>
      </c>
      <c r="E27" s="82" t="s">
        <v>620</v>
      </c>
      <c r="F27" s="82" t="s">
        <v>607</v>
      </c>
    </row>
    <row r="28" spans="1:6" ht="27.95" customHeight="1">
      <c r="A28" s="82" t="s">
        <v>1104</v>
      </c>
      <c r="B28" s="84" t="s">
        <v>603</v>
      </c>
      <c r="C28" s="82" t="s">
        <v>1105</v>
      </c>
      <c r="D28" s="83" t="s">
        <v>605</v>
      </c>
      <c r="E28" s="82" t="s">
        <v>1106</v>
      </c>
      <c r="F28" s="82" t="s">
        <v>1107</v>
      </c>
    </row>
    <row r="29" spans="1:6" ht="27.95" customHeight="1">
      <c r="A29" s="82" t="s">
        <v>1108</v>
      </c>
      <c r="B29" s="85" t="s">
        <v>619</v>
      </c>
      <c r="C29" s="82" t="s">
        <v>650</v>
      </c>
      <c r="D29" s="83" t="s">
        <v>605</v>
      </c>
      <c r="E29" s="82" t="s">
        <v>651</v>
      </c>
      <c r="F29" s="82" t="s">
        <v>607</v>
      </c>
    </row>
    <row r="30" spans="1:6" ht="27.95" customHeight="1">
      <c r="A30" s="82" t="s">
        <v>1109</v>
      </c>
      <c r="B30" s="84" t="s">
        <v>603</v>
      </c>
      <c r="C30" s="82" t="s">
        <v>1110</v>
      </c>
      <c r="D30" s="83" t="s">
        <v>605</v>
      </c>
      <c r="E30" s="82" t="s">
        <v>1111</v>
      </c>
      <c r="F30" s="82" t="s">
        <v>974</v>
      </c>
    </row>
    <row r="31" spans="1:6" ht="27.95" customHeight="1">
      <c r="A31" s="82" t="s">
        <v>1112</v>
      </c>
      <c r="B31" s="84" t="s">
        <v>603</v>
      </c>
      <c r="C31" s="82" t="s">
        <v>727</v>
      </c>
      <c r="D31" s="83" t="s">
        <v>605</v>
      </c>
      <c r="E31" s="82" t="s">
        <v>606</v>
      </c>
      <c r="F31" s="82" t="s">
        <v>607</v>
      </c>
    </row>
    <row r="32" spans="1:6" ht="27.95" customHeight="1">
      <c r="A32" s="82" t="s">
        <v>1113</v>
      </c>
      <c r="B32" s="85" t="s">
        <v>619</v>
      </c>
      <c r="C32" s="82" t="s">
        <v>650</v>
      </c>
      <c r="D32" s="83" t="s">
        <v>605</v>
      </c>
      <c r="E32" s="82" t="s">
        <v>651</v>
      </c>
      <c r="F32" s="82" t="s">
        <v>607</v>
      </c>
    </row>
    <row r="33" spans="1:6" ht="27.95" customHeight="1">
      <c r="A33" s="82" t="s">
        <v>1114</v>
      </c>
      <c r="B33" s="85" t="s">
        <v>619</v>
      </c>
      <c r="C33" s="82" t="s">
        <v>650</v>
      </c>
      <c r="D33" s="83" t="s">
        <v>605</v>
      </c>
      <c r="E33" s="82" t="s">
        <v>651</v>
      </c>
      <c r="F33" s="82" t="s">
        <v>607</v>
      </c>
    </row>
    <row r="34" spans="1:6" ht="27.95" customHeight="1">
      <c r="A34" s="82" t="s">
        <v>1115</v>
      </c>
      <c r="B34" s="84" t="s">
        <v>603</v>
      </c>
      <c r="C34" s="82" t="s">
        <v>1116</v>
      </c>
      <c r="D34" s="83" t="s">
        <v>605</v>
      </c>
      <c r="E34" s="82" t="s">
        <v>678</v>
      </c>
      <c r="F34" s="82" t="s">
        <v>1021</v>
      </c>
    </row>
    <row r="35" spans="1:6" ht="27.95" customHeight="1">
      <c r="A35" s="82" t="s">
        <v>1117</v>
      </c>
      <c r="B35" s="85" t="s">
        <v>619</v>
      </c>
      <c r="C35" s="82" t="s">
        <v>650</v>
      </c>
      <c r="D35" s="83" t="s">
        <v>605</v>
      </c>
      <c r="E35" s="82" t="s">
        <v>651</v>
      </c>
      <c r="F35" s="82" t="s">
        <v>607</v>
      </c>
    </row>
    <row r="36" spans="1:6" ht="27.95" customHeight="1">
      <c r="A36" s="82" t="s">
        <v>1118</v>
      </c>
      <c r="B36" s="85" t="s">
        <v>619</v>
      </c>
      <c r="C36" s="82" t="s">
        <v>650</v>
      </c>
      <c r="D36" s="83" t="s">
        <v>605</v>
      </c>
      <c r="E36" s="82" t="s">
        <v>651</v>
      </c>
      <c r="F36" s="82" t="s">
        <v>607</v>
      </c>
    </row>
    <row r="37" spans="1:6" ht="27.95" customHeight="1">
      <c r="A37" s="82" t="s">
        <v>1119</v>
      </c>
      <c r="B37" s="85" t="s">
        <v>619</v>
      </c>
      <c r="C37" s="82" t="s">
        <v>650</v>
      </c>
      <c r="D37" s="83" t="s">
        <v>605</v>
      </c>
      <c r="E37" s="82" t="s">
        <v>651</v>
      </c>
      <c r="F37" s="82" t="s">
        <v>607</v>
      </c>
    </row>
    <row r="38" spans="1:6" ht="27.95" customHeight="1">
      <c r="A38" s="82" t="s">
        <v>1120</v>
      </c>
      <c r="B38" s="85" t="s">
        <v>619</v>
      </c>
      <c r="C38" s="82" t="s">
        <v>650</v>
      </c>
      <c r="D38" s="83" t="s">
        <v>605</v>
      </c>
      <c r="E38" s="82" t="s">
        <v>651</v>
      </c>
      <c r="F38" s="82" t="s">
        <v>607</v>
      </c>
    </row>
    <row r="39" spans="1:6" ht="27.95" customHeight="1">
      <c r="A39" s="82" t="s">
        <v>1121</v>
      </c>
      <c r="B39" s="84" t="s">
        <v>603</v>
      </c>
      <c r="C39" s="82" t="s">
        <v>650</v>
      </c>
      <c r="D39" s="83" t="s">
        <v>605</v>
      </c>
      <c r="E39" s="82" t="s">
        <v>688</v>
      </c>
      <c r="F39" s="82" t="s">
        <v>607</v>
      </c>
    </row>
    <row r="40" spans="1:6" ht="27.95" customHeight="1">
      <c r="A40" s="82" t="s">
        <v>1122</v>
      </c>
      <c r="B40" s="85" t="s">
        <v>619</v>
      </c>
      <c r="C40" s="82" t="s">
        <v>888</v>
      </c>
      <c r="D40" s="83" t="s">
        <v>605</v>
      </c>
      <c r="E40" s="82" t="s">
        <v>620</v>
      </c>
      <c r="F40" s="82" t="s">
        <v>607</v>
      </c>
    </row>
    <row r="41" spans="1:6" ht="27.95" customHeight="1">
      <c r="A41" s="82" t="s">
        <v>1123</v>
      </c>
      <c r="B41" s="84" t="s">
        <v>603</v>
      </c>
      <c r="C41" s="82" t="s">
        <v>1124</v>
      </c>
      <c r="D41" s="83" t="s">
        <v>605</v>
      </c>
      <c r="E41" s="82" t="s">
        <v>636</v>
      </c>
      <c r="F41" s="82" t="s">
        <v>1125</v>
      </c>
    </row>
    <row r="42" spans="1:6" ht="27.95" customHeight="1">
      <c r="A42" s="82" t="s">
        <v>1126</v>
      </c>
      <c r="B42" s="85" t="s">
        <v>619</v>
      </c>
      <c r="C42" s="82" t="s">
        <v>650</v>
      </c>
      <c r="D42" s="83" t="s">
        <v>605</v>
      </c>
      <c r="E42" s="82" t="s">
        <v>651</v>
      </c>
      <c r="F42" s="82" t="s">
        <v>607</v>
      </c>
    </row>
    <row r="43" spans="1:6" ht="27.95" customHeight="1">
      <c r="A43" s="82" t="s">
        <v>1127</v>
      </c>
      <c r="B43" s="85" t="s">
        <v>619</v>
      </c>
      <c r="C43" s="82" t="s">
        <v>888</v>
      </c>
      <c r="D43" s="83" t="s">
        <v>605</v>
      </c>
      <c r="E43" s="82" t="s">
        <v>620</v>
      </c>
      <c r="F43" s="82" t="s">
        <v>607</v>
      </c>
    </row>
    <row r="44" spans="1:6" ht="27.95" customHeight="1">
      <c r="A44" s="82" t="s">
        <v>1128</v>
      </c>
      <c r="B44" s="85" t="s">
        <v>619</v>
      </c>
      <c r="C44" s="82" t="s">
        <v>650</v>
      </c>
      <c r="D44" s="83" t="s">
        <v>605</v>
      </c>
      <c r="E44" s="82" t="s">
        <v>651</v>
      </c>
      <c r="F44" s="82" t="s">
        <v>607</v>
      </c>
    </row>
    <row r="45" spans="1:6" ht="27.95" customHeight="1">
      <c r="A45" s="82" t="s">
        <v>1129</v>
      </c>
      <c r="B45" s="86" t="s">
        <v>615</v>
      </c>
      <c r="C45" s="82" t="s">
        <v>722</v>
      </c>
      <c r="D45" s="83" t="s">
        <v>605</v>
      </c>
      <c r="E45" s="82" t="s">
        <v>617</v>
      </c>
      <c r="F45" s="82" t="s">
        <v>607</v>
      </c>
    </row>
    <row r="46" spans="1:6" ht="27.95" customHeight="1">
      <c r="A46" s="82" t="s">
        <v>1130</v>
      </c>
      <c r="B46" s="84" t="s">
        <v>603</v>
      </c>
      <c r="C46" s="82" t="s">
        <v>34</v>
      </c>
      <c r="D46" s="83" t="s">
        <v>605</v>
      </c>
      <c r="E46" s="82" t="s">
        <v>606</v>
      </c>
      <c r="F46" s="82" t="s">
        <v>607</v>
      </c>
    </row>
    <row r="47" spans="1:6" ht="27.95" customHeight="1">
      <c r="A47" s="82" t="s">
        <v>1131</v>
      </c>
      <c r="B47" s="85" t="s">
        <v>619</v>
      </c>
      <c r="C47" s="82" t="s">
        <v>650</v>
      </c>
      <c r="D47" s="83" t="s">
        <v>605</v>
      </c>
      <c r="E47" s="82" t="s">
        <v>651</v>
      </c>
      <c r="F47" s="82" t="s">
        <v>607</v>
      </c>
    </row>
    <row r="48" spans="1:6" ht="27.95" customHeight="1">
      <c r="A48" s="82" t="s">
        <v>1132</v>
      </c>
      <c r="B48" s="85" t="s">
        <v>619</v>
      </c>
      <c r="C48" s="82" t="s">
        <v>650</v>
      </c>
      <c r="D48" s="83" t="s">
        <v>605</v>
      </c>
      <c r="E48" s="82" t="s">
        <v>651</v>
      </c>
      <c r="F48" s="82" t="s">
        <v>607</v>
      </c>
    </row>
    <row r="49" spans="1:6" ht="27.95" customHeight="1">
      <c r="A49" s="82" t="s">
        <v>1133</v>
      </c>
      <c r="B49" s="85" t="s">
        <v>619</v>
      </c>
      <c r="C49" s="82" t="s">
        <v>888</v>
      </c>
      <c r="D49" s="83" t="s">
        <v>605</v>
      </c>
      <c r="E49" s="82" t="s">
        <v>620</v>
      </c>
      <c r="F49" s="82" t="s">
        <v>607</v>
      </c>
    </row>
    <row r="50" spans="1:6" ht="27.95" customHeight="1">
      <c r="A50" s="82" t="s">
        <v>1134</v>
      </c>
      <c r="B50" s="85" t="s">
        <v>619</v>
      </c>
      <c r="C50" s="82" t="s">
        <v>1135</v>
      </c>
      <c r="D50" s="83" t="s">
        <v>605</v>
      </c>
      <c r="E50" s="82" t="s">
        <v>620</v>
      </c>
      <c r="F50" s="82" t="s">
        <v>1021</v>
      </c>
    </row>
    <row r="51" spans="1:6" ht="27.95" customHeight="1">
      <c r="A51" s="82" t="s">
        <v>1136</v>
      </c>
      <c r="B51" s="85" t="s">
        <v>619</v>
      </c>
      <c r="C51" s="82" t="s">
        <v>888</v>
      </c>
      <c r="D51" s="83" t="s">
        <v>605</v>
      </c>
      <c r="E51" s="82" t="s">
        <v>620</v>
      </c>
      <c r="F51" s="82" t="s">
        <v>607</v>
      </c>
    </row>
    <row r="52" spans="1:6" ht="27.95" customHeight="1">
      <c r="A52" s="82" t="s">
        <v>1137</v>
      </c>
      <c r="B52" s="85" t="s">
        <v>619</v>
      </c>
      <c r="C52" s="82" t="s">
        <v>650</v>
      </c>
      <c r="D52" s="83" t="s">
        <v>605</v>
      </c>
      <c r="E52" s="82" t="s">
        <v>651</v>
      </c>
      <c r="F52" s="82" t="s">
        <v>607</v>
      </c>
    </row>
    <row r="53" spans="1:6" ht="27.95" customHeight="1">
      <c r="A53" s="82" t="s">
        <v>1138</v>
      </c>
      <c r="B53" s="85" t="s">
        <v>619</v>
      </c>
      <c r="C53" s="82" t="s">
        <v>930</v>
      </c>
      <c r="D53" s="83" t="s">
        <v>605</v>
      </c>
      <c r="E53" s="82" t="s">
        <v>620</v>
      </c>
      <c r="F53" s="82" t="s">
        <v>607</v>
      </c>
    </row>
    <row r="54" spans="1:6" ht="27.95" customHeight="1">
      <c r="A54" s="82" t="s">
        <v>1139</v>
      </c>
      <c r="B54" s="84" t="s">
        <v>603</v>
      </c>
      <c r="C54" s="82" t="s">
        <v>1140</v>
      </c>
      <c r="D54" s="83" t="s">
        <v>605</v>
      </c>
      <c r="E54" s="82" t="s">
        <v>610</v>
      </c>
      <c r="F54" s="82" t="s">
        <v>1141</v>
      </c>
    </row>
    <row r="55" spans="1:6" ht="27.95" customHeight="1">
      <c r="A55" s="82" t="s">
        <v>1142</v>
      </c>
      <c r="B55" s="85" t="s">
        <v>619</v>
      </c>
      <c r="C55" s="90" t="s">
        <v>650</v>
      </c>
      <c r="D55" s="91" t="s">
        <v>605</v>
      </c>
      <c r="E55" s="82" t="s">
        <v>651</v>
      </c>
      <c r="F55" s="82" t="s">
        <v>607</v>
      </c>
    </row>
    <row r="56" spans="1:6" ht="27.95" customHeight="1">
      <c r="A56" s="82" t="s">
        <v>1143</v>
      </c>
      <c r="B56" s="84" t="s">
        <v>603</v>
      </c>
      <c r="C56" s="90" t="s">
        <v>888</v>
      </c>
      <c r="D56" s="91" t="s">
        <v>605</v>
      </c>
      <c r="E56" s="82" t="s">
        <v>606</v>
      </c>
      <c r="F56" s="82" t="s">
        <v>607</v>
      </c>
    </row>
    <row r="57" spans="1:6" ht="27.95" customHeight="1">
      <c r="A57" s="82" t="s">
        <v>1144</v>
      </c>
      <c r="B57" s="84" t="s">
        <v>603</v>
      </c>
      <c r="C57" s="90" t="s">
        <v>1145</v>
      </c>
      <c r="D57" s="91" t="s">
        <v>605</v>
      </c>
      <c r="E57" s="82" t="s">
        <v>1146</v>
      </c>
      <c r="F57" s="82" t="s">
        <v>607</v>
      </c>
    </row>
    <row r="58" spans="1:6" ht="27.95" customHeight="1">
      <c r="A58" s="82" t="s">
        <v>1147</v>
      </c>
      <c r="B58" s="84" t="s">
        <v>603</v>
      </c>
      <c r="C58" s="90" t="s">
        <v>1148</v>
      </c>
      <c r="D58" s="91" t="s">
        <v>605</v>
      </c>
      <c r="E58" s="82" t="s">
        <v>610</v>
      </c>
      <c r="F58" s="82" t="s">
        <v>607</v>
      </c>
    </row>
    <row r="59" spans="1:6" ht="27.95" customHeight="1">
      <c r="A59" s="82" t="s">
        <v>1149</v>
      </c>
      <c r="B59" s="84" t="s">
        <v>603</v>
      </c>
      <c r="C59" s="90" t="s">
        <v>1150</v>
      </c>
      <c r="D59" s="91" t="s">
        <v>605</v>
      </c>
      <c r="E59" s="82" t="s">
        <v>1151</v>
      </c>
      <c r="F59" s="82" t="s">
        <v>1152</v>
      </c>
    </row>
    <row r="60" spans="1:6" ht="27.95" customHeight="1">
      <c r="A60" s="82" t="s">
        <v>1153</v>
      </c>
      <c r="B60" s="85" t="s">
        <v>619</v>
      </c>
      <c r="C60" s="82" t="s">
        <v>650</v>
      </c>
      <c r="D60" s="83" t="s">
        <v>605</v>
      </c>
      <c r="E60" s="82" t="s">
        <v>651</v>
      </c>
      <c r="F60" s="82" t="s">
        <v>607</v>
      </c>
    </row>
    <row r="61" spans="1:6" ht="27.95" customHeight="1">
      <c r="A61" s="82" t="s">
        <v>1154</v>
      </c>
      <c r="B61" s="85" t="s">
        <v>619</v>
      </c>
      <c r="C61" s="93" t="s">
        <v>650</v>
      </c>
      <c r="D61" s="83" t="s">
        <v>605</v>
      </c>
      <c r="E61" s="82" t="s">
        <v>651</v>
      </c>
      <c r="F61" s="82" t="s">
        <v>607</v>
      </c>
    </row>
    <row r="62" spans="1:6" ht="27.95" customHeight="1">
      <c r="A62" s="82" t="s">
        <v>1155</v>
      </c>
      <c r="B62" s="84" t="s">
        <v>603</v>
      </c>
      <c r="C62" s="93" t="s">
        <v>1156</v>
      </c>
      <c r="D62" s="83" t="s">
        <v>605</v>
      </c>
      <c r="E62" s="82" t="s">
        <v>610</v>
      </c>
      <c r="F62" s="82" t="s">
        <v>1034</v>
      </c>
    </row>
    <row r="63" spans="1:6" ht="27.95" customHeight="1">
      <c r="A63" s="82" t="s">
        <v>1157</v>
      </c>
      <c r="B63" s="85" t="s">
        <v>619</v>
      </c>
      <c r="C63" s="82" t="s">
        <v>650</v>
      </c>
      <c r="D63" s="83" t="s">
        <v>605</v>
      </c>
      <c r="E63" s="82" t="s">
        <v>651</v>
      </c>
      <c r="F63" s="82" t="s">
        <v>607</v>
      </c>
    </row>
    <row r="64" spans="1:6" ht="27.95" customHeight="1">
      <c r="A64" s="82" t="s">
        <v>1158</v>
      </c>
      <c r="B64" s="86" t="s">
        <v>615</v>
      </c>
      <c r="C64" s="82" t="s">
        <v>1159</v>
      </c>
      <c r="D64" s="83" t="s">
        <v>605</v>
      </c>
      <c r="E64" s="82" t="s">
        <v>617</v>
      </c>
      <c r="F64" s="82" t="s">
        <v>1160</v>
      </c>
    </row>
    <row r="65" spans="1:6" ht="27.95" customHeight="1">
      <c r="A65" s="82" t="s">
        <v>1161</v>
      </c>
      <c r="B65" s="85" t="s">
        <v>619</v>
      </c>
      <c r="C65" s="93" t="s">
        <v>650</v>
      </c>
      <c r="D65" s="83" t="s">
        <v>605</v>
      </c>
      <c r="E65" s="82" t="s">
        <v>651</v>
      </c>
      <c r="F65" s="82" t="s">
        <v>607</v>
      </c>
    </row>
    <row r="66" spans="1:6" ht="27.95" customHeight="1">
      <c r="A66" s="82" t="s">
        <v>1162</v>
      </c>
      <c r="B66" s="85" t="s">
        <v>619</v>
      </c>
      <c r="C66" s="82" t="s">
        <v>650</v>
      </c>
      <c r="D66" s="83" t="s">
        <v>605</v>
      </c>
      <c r="E66" s="82" t="s">
        <v>651</v>
      </c>
      <c r="F66" s="82" t="s">
        <v>607</v>
      </c>
    </row>
    <row r="67" spans="1:6" ht="27.95" customHeight="1">
      <c r="A67" s="82" t="s">
        <v>1163</v>
      </c>
      <c r="B67" s="84" t="s">
        <v>603</v>
      </c>
      <c r="C67" s="82" t="s">
        <v>1164</v>
      </c>
      <c r="D67" s="83" t="s">
        <v>605</v>
      </c>
      <c r="E67" s="82" t="s">
        <v>606</v>
      </c>
      <c r="F67" s="82" t="s">
        <v>691</v>
      </c>
    </row>
    <row r="68" spans="1:6" ht="27.95" customHeight="1">
      <c r="A68" s="82" t="s">
        <v>1165</v>
      </c>
      <c r="B68" s="84" t="s">
        <v>603</v>
      </c>
      <c r="C68" s="82" t="s">
        <v>1166</v>
      </c>
      <c r="D68" s="83" t="s">
        <v>605</v>
      </c>
      <c r="E68" s="82" t="s">
        <v>606</v>
      </c>
      <c r="F68" s="82" t="s">
        <v>691</v>
      </c>
    </row>
    <row r="69" spans="1:6" ht="27.95" customHeight="1">
      <c r="A69" s="82" t="s">
        <v>1167</v>
      </c>
      <c r="B69" s="85" t="s">
        <v>619</v>
      </c>
      <c r="C69" s="93" t="s">
        <v>888</v>
      </c>
      <c r="D69" s="83" t="s">
        <v>605</v>
      </c>
      <c r="E69" s="82" t="s">
        <v>620</v>
      </c>
      <c r="F69" s="82" t="s">
        <v>607</v>
      </c>
    </row>
    <row r="70" spans="1:6" ht="27.95" customHeight="1">
      <c r="A70" s="82" t="s">
        <v>1168</v>
      </c>
      <c r="B70" s="85" t="s">
        <v>619</v>
      </c>
      <c r="C70" s="82" t="s">
        <v>650</v>
      </c>
      <c r="D70" s="83" t="s">
        <v>605</v>
      </c>
      <c r="E70" s="82" t="s">
        <v>651</v>
      </c>
      <c r="F70" s="82" t="s">
        <v>607</v>
      </c>
    </row>
    <row r="71" spans="1:6" ht="27.95" customHeight="1">
      <c r="A71" s="82" t="s">
        <v>1169</v>
      </c>
      <c r="B71" s="84" t="s">
        <v>603</v>
      </c>
      <c r="C71" s="93" t="s">
        <v>1170</v>
      </c>
      <c r="D71" s="83" t="s">
        <v>605</v>
      </c>
      <c r="E71" s="82" t="s">
        <v>1171</v>
      </c>
      <c r="F71" s="82" t="s">
        <v>637</v>
      </c>
    </row>
    <row r="72" spans="1:6" ht="27.95" customHeight="1">
      <c r="A72" s="82" t="s">
        <v>1172</v>
      </c>
      <c r="B72" s="85" t="s">
        <v>619</v>
      </c>
      <c r="C72" s="82" t="s">
        <v>650</v>
      </c>
      <c r="D72" s="83" t="s">
        <v>605</v>
      </c>
      <c r="E72" s="82" t="s">
        <v>651</v>
      </c>
      <c r="F72" s="82" t="s">
        <v>607</v>
      </c>
    </row>
    <row r="73" spans="1:6" ht="27.95" customHeight="1">
      <c r="A73" s="82" t="s">
        <v>1173</v>
      </c>
      <c r="B73" s="85" t="s">
        <v>619</v>
      </c>
      <c r="C73" s="82" t="s">
        <v>650</v>
      </c>
      <c r="D73" s="83" t="s">
        <v>605</v>
      </c>
      <c r="E73" s="82" t="s">
        <v>651</v>
      </c>
      <c r="F73" s="82" t="s">
        <v>607</v>
      </c>
    </row>
    <row r="74" spans="1:6" ht="15">
      <c r="C74" s="63"/>
      <c r="D74" s="63"/>
    </row>
    <row r="75" spans="1:6" ht="15">
      <c r="C75" s="88" t="s">
        <v>633</v>
      </c>
      <c r="D75" s="89" t="str">
        <f>COUNTIF(D2:D73,"☑")&amp;" / "&amp;COUNTA(A2:A73)</f>
        <v>0 / 72</v>
      </c>
    </row>
  </sheetData>
  <conditionalFormatting sqref="B2:B53">
    <cfRule type="expression" dxfId="124" priority="1">
      <formula>B2="A"</formula>
    </cfRule>
    <cfRule type="expression" dxfId="123" priority="2">
      <formula>B2="B"</formula>
    </cfRule>
    <cfRule type="expression" dxfId="122" priority="3">
      <formula>B2="C"</formula>
    </cfRule>
  </conditionalFormatting>
  <conditionalFormatting sqref="D2:D72">
    <cfRule type="expression" dxfId="121" priority="4">
      <formula>D2="☑"</formula>
    </cfRule>
  </conditionalFormatting>
  <conditionalFormatting sqref="D2:D73">
    <cfRule type="expression" dxfId="120" priority="17">
      <formula>D2="☑"</formula>
    </cfRule>
  </conditionalFormatting>
  <dataValidations count="1">
    <dataValidation type="list" sqref="D2:D73" xr:uid="{00000000-0002-0000-0D00-000000000000}">
      <formula1>"☐,☑"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0"/>
  <sheetViews>
    <sheetView topLeftCell="A52" workbookViewId="0"/>
  </sheetViews>
  <sheetFormatPr defaultRowHeight="14.25"/>
  <cols>
    <col min="1" max="1" width="34" customWidth="1"/>
    <col min="2" max="2" width="10" customWidth="1"/>
    <col min="3" max="3" width="50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81" t="s">
        <v>598</v>
      </c>
      <c r="B1" s="81" t="s">
        <v>599</v>
      </c>
      <c r="C1" s="81" t="s">
        <v>13</v>
      </c>
      <c r="D1" s="81" t="s">
        <v>3</v>
      </c>
      <c r="E1" s="81" t="s">
        <v>600</v>
      </c>
      <c r="F1" s="81" t="s">
        <v>601</v>
      </c>
    </row>
    <row r="2" spans="1:6" ht="27.95" customHeight="1">
      <c r="A2" s="82" t="s">
        <v>1174</v>
      </c>
      <c r="B2" s="85" t="s">
        <v>619</v>
      </c>
      <c r="C2" s="82" t="s">
        <v>888</v>
      </c>
      <c r="D2" s="83" t="s">
        <v>605</v>
      </c>
      <c r="E2" s="82" t="s">
        <v>620</v>
      </c>
      <c r="F2" s="82" t="s">
        <v>607</v>
      </c>
    </row>
    <row r="3" spans="1:6" ht="27.95" customHeight="1">
      <c r="A3" s="82" t="s">
        <v>1175</v>
      </c>
      <c r="B3" s="85" t="s">
        <v>619</v>
      </c>
      <c r="C3" s="82" t="s">
        <v>650</v>
      </c>
      <c r="D3" s="83" t="s">
        <v>605</v>
      </c>
      <c r="E3" s="82" t="s">
        <v>651</v>
      </c>
      <c r="F3" s="82" t="s">
        <v>607</v>
      </c>
    </row>
    <row r="4" spans="1:6" ht="27.95" customHeight="1">
      <c r="A4" s="82" t="s">
        <v>1176</v>
      </c>
      <c r="B4" s="85" t="s">
        <v>619</v>
      </c>
      <c r="C4" s="82" t="s">
        <v>650</v>
      </c>
      <c r="D4" s="83" t="s">
        <v>605</v>
      </c>
      <c r="E4" s="82" t="s">
        <v>651</v>
      </c>
      <c r="F4" s="82" t="s">
        <v>607</v>
      </c>
    </row>
    <row r="5" spans="1:6" ht="27.95" customHeight="1">
      <c r="A5" s="82" t="s">
        <v>1177</v>
      </c>
      <c r="B5" s="85" t="s">
        <v>619</v>
      </c>
      <c r="C5" s="82" t="s">
        <v>1178</v>
      </c>
      <c r="D5" s="83" t="s">
        <v>605</v>
      </c>
      <c r="E5" s="82" t="s">
        <v>620</v>
      </c>
      <c r="F5" s="82" t="s">
        <v>1021</v>
      </c>
    </row>
    <row r="6" spans="1:6" ht="27.95" customHeight="1">
      <c r="A6" s="82" t="s">
        <v>1179</v>
      </c>
      <c r="B6" s="85" t="s">
        <v>619</v>
      </c>
      <c r="C6" s="82" t="s">
        <v>330</v>
      </c>
      <c r="D6" s="83" t="s">
        <v>605</v>
      </c>
      <c r="E6" s="82" t="s">
        <v>620</v>
      </c>
      <c r="F6" s="82" t="s">
        <v>607</v>
      </c>
    </row>
    <row r="7" spans="1:6" ht="27.95" customHeight="1">
      <c r="A7" s="82" t="s">
        <v>1180</v>
      </c>
      <c r="B7" s="85" t="s">
        <v>619</v>
      </c>
      <c r="C7" s="82" t="s">
        <v>650</v>
      </c>
      <c r="D7" s="83" t="s">
        <v>605</v>
      </c>
      <c r="E7" s="82" t="s">
        <v>651</v>
      </c>
      <c r="F7" s="82" t="s">
        <v>607</v>
      </c>
    </row>
    <row r="8" spans="1:6" ht="27.95" customHeight="1">
      <c r="A8" s="82" t="s">
        <v>1181</v>
      </c>
      <c r="B8" s="85" t="s">
        <v>619</v>
      </c>
      <c r="C8" s="82" t="s">
        <v>650</v>
      </c>
      <c r="D8" s="83" t="s">
        <v>605</v>
      </c>
      <c r="E8" s="82" t="s">
        <v>651</v>
      </c>
      <c r="F8" s="82" t="s">
        <v>607</v>
      </c>
    </row>
    <row r="9" spans="1:6" ht="27.95" customHeight="1">
      <c r="A9" s="82" t="s">
        <v>1182</v>
      </c>
      <c r="B9" s="85" t="s">
        <v>619</v>
      </c>
      <c r="C9" s="82" t="s">
        <v>650</v>
      </c>
      <c r="D9" s="83" t="s">
        <v>605</v>
      </c>
      <c r="E9" s="82" t="s">
        <v>651</v>
      </c>
      <c r="F9" s="82" t="s">
        <v>607</v>
      </c>
    </row>
    <row r="10" spans="1:6" ht="27.95" customHeight="1">
      <c r="A10" s="82" t="s">
        <v>1183</v>
      </c>
      <c r="B10" s="85" t="s">
        <v>619</v>
      </c>
      <c r="C10" s="82" t="s">
        <v>1184</v>
      </c>
      <c r="D10" s="83" t="s">
        <v>605</v>
      </c>
      <c r="E10" s="82" t="s">
        <v>1185</v>
      </c>
      <c r="F10" s="82" t="s">
        <v>1186</v>
      </c>
    </row>
    <row r="11" spans="1:6" ht="27.95" customHeight="1">
      <c r="A11" s="82" t="s">
        <v>343</v>
      </c>
      <c r="B11" s="84" t="s">
        <v>603</v>
      </c>
      <c r="C11" s="82" t="s">
        <v>1187</v>
      </c>
      <c r="D11" s="83" t="s">
        <v>605</v>
      </c>
      <c r="E11" s="82" t="s">
        <v>804</v>
      </c>
      <c r="F11" s="82" t="s">
        <v>1188</v>
      </c>
    </row>
    <row r="12" spans="1:6" ht="27.95" customHeight="1">
      <c r="A12" s="82" t="s">
        <v>1189</v>
      </c>
      <c r="B12" s="85" t="s">
        <v>619</v>
      </c>
      <c r="C12" s="82" t="s">
        <v>650</v>
      </c>
      <c r="D12" s="83" t="s">
        <v>605</v>
      </c>
      <c r="E12" s="82" t="s">
        <v>651</v>
      </c>
      <c r="F12" s="82" t="s">
        <v>607</v>
      </c>
    </row>
    <row r="13" spans="1:6" ht="27.95" customHeight="1">
      <c r="A13" s="82" t="s">
        <v>1190</v>
      </c>
      <c r="B13" s="85" t="s">
        <v>619</v>
      </c>
      <c r="C13" s="82" t="s">
        <v>1191</v>
      </c>
      <c r="D13" s="83" t="s">
        <v>605</v>
      </c>
      <c r="E13" s="82" t="s">
        <v>620</v>
      </c>
      <c r="F13" s="82" t="s">
        <v>607</v>
      </c>
    </row>
    <row r="14" spans="1:6" ht="27.95" customHeight="1">
      <c r="A14" s="82" t="s">
        <v>1192</v>
      </c>
      <c r="B14" s="85" t="s">
        <v>619</v>
      </c>
      <c r="C14" s="82" t="s">
        <v>650</v>
      </c>
      <c r="D14" s="83" t="s">
        <v>605</v>
      </c>
      <c r="E14" s="82" t="s">
        <v>651</v>
      </c>
      <c r="F14" s="82" t="s">
        <v>607</v>
      </c>
    </row>
    <row r="15" spans="1:6" ht="27.95" customHeight="1">
      <c r="A15" s="82" t="s">
        <v>1193</v>
      </c>
      <c r="B15" s="85" t="s">
        <v>619</v>
      </c>
      <c r="C15" s="82" t="s">
        <v>650</v>
      </c>
      <c r="D15" s="83" t="s">
        <v>605</v>
      </c>
      <c r="E15" s="82" t="s">
        <v>651</v>
      </c>
      <c r="F15" s="82" t="s">
        <v>607</v>
      </c>
    </row>
    <row r="16" spans="1:6" ht="27.95" customHeight="1">
      <c r="A16" s="82" t="s">
        <v>1194</v>
      </c>
      <c r="B16" s="85" t="s">
        <v>619</v>
      </c>
      <c r="C16" s="82" t="s">
        <v>1195</v>
      </c>
      <c r="D16" s="83" t="s">
        <v>605</v>
      </c>
      <c r="E16" s="82" t="s">
        <v>620</v>
      </c>
      <c r="F16" s="82" t="s">
        <v>607</v>
      </c>
    </row>
    <row r="17" spans="1:6" ht="27.95" customHeight="1">
      <c r="A17" s="82" t="s">
        <v>58</v>
      </c>
      <c r="B17" s="84" t="s">
        <v>603</v>
      </c>
      <c r="C17" s="82" t="s">
        <v>1196</v>
      </c>
      <c r="D17" s="83" t="s">
        <v>605</v>
      </c>
      <c r="E17" s="82" t="s">
        <v>606</v>
      </c>
      <c r="F17" s="82" t="s">
        <v>607</v>
      </c>
    </row>
    <row r="18" spans="1:6" ht="27.95" customHeight="1">
      <c r="A18" s="82" t="s">
        <v>1197</v>
      </c>
      <c r="B18" s="85" t="s">
        <v>619</v>
      </c>
      <c r="C18" s="82" t="s">
        <v>650</v>
      </c>
      <c r="D18" s="83" t="s">
        <v>605</v>
      </c>
      <c r="E18" s="82" t="s">
        <v>651</v>
      </c>
      <c r="F18" s="82" t="s">
        <v>607</v>
      </c>
    </row>
    <row r="19" spans="1:6" ht="27.95" customHeight="1">
      <c r="A19" s="82" t="s">
        <v>1198</v>
      </c>
      <c r="B19" s="85" t="s">
        <v>619</v>
      </c>
      <c r="C19" s="82" t="s">
        <v>1199</v>
      </c>
      <c r="D19" s="83" t="s">
        <v>605</v>
      </c>
      <c r="E19" s="82" t="s">
        <v>620</v>
      </c>
      <c r="F19" s="82" t="s">
        <v>607</v>
      </c>
    </row>
    <row r="20" spans="1:6" ht="27.95" customHeight="1">
      <c r="A20" s="82" t="s">
        <v>1200</v>
      </c>
      <c r="B20" s="84" t="s">
        <v>603</v>
      </c>
      <c r="C20" s="82" t="s">
        <v>1201</v>
      </c>
      <c r="D20" s="83" t="s">
        <v>605</v>
      </c>
      <c r="E20" s="82" t="s">
        <v>1202</v>
      </c>
      <c r="F20" s="82" t="s">
        <v>637</v>
      </c>
    </row>
    <row r="21" spans="1:6" ht="27.95" customHeight="1">
      <c r="A21" s="82" t="s">
        <v>1203</v>
      </c>
      <c r="B21" s="85" t="s">
        <v>619</v>
      </c>
      <c r="C21" s="82" t="s">
        <v>650</v>
      </c>
      <c r="D21" s="83" t="s">
        <v>605</v>
      </c>
      <c r="E21" s="82" t="s">
        <v>651</v>
      </c>
      <c r="F21" s="82" t="s">
        <v>607</v>
      </c>
    </row>
    <row r="22" spans="1:6" ht="27.95" customHeight="1">
      <c r="A22" s="82" t="s">
        <v>1204</v>
      </c>
      <c r="B22" s="86" t="s">
        <v>615</v>
      </c>
      <c r="C22" s="82" t="s">
        <v>1205</v>
      </c>
      <c r="D22" s="83" t="s">
        <v>605</v>
      </c>
      <c r="E22" s="82" t="s">
        <v>825</v>
      </c>
      <c r="F22" s="82" t="s">
        <v>607</v>
      </c>
    </row>
    <row r="23" spans="1:6" ht="27.95" customHeight="1">
      <c r="A23" s="82" t="s">
        <v>1206</v>
      </c>
      <c r="B23" s="84" t="s">
        <v>603</v>
      </c>
      <c r="C23" s="82" t="s">
        <v>1207</v>
      </c>
      <c r="D23" s="83" t="s">
        <v>605</v>
      </c>
      <c r="E23" s="82" t="s">
        <v>1208</v>
      </c>
      <c r="F23" s="82" t="s">
        <v>637</v>
      </c>
    </row>
    <row r="24" spans="1:6" ht="27.95" customHeight="1">
      <c r="A24" s="82" t="s">
        <v>1209</v>
      </c>
      <c r="B24" s="85" t="s">
        <v>619</v>
      </c>
      <c r="C24" s="82" t="s">
        <v>650</v>
      </c>
      <c r="D24" s="83" t="s">
        <v>605</v>
      </c>
      <c r="E24" s="82" t="s">
        <v>651</v>
      </c>
      <c r="F24" s="82" t="s">
        <v>607</v>
      </c>
    </row>
    <row r="25" spans="1:6" ht="27.95" customHeight="1">
      <c r="A25" s="82" t="s">
        <v>419</v>
      </c>
      <c r="B25" s="86" t="s">
        <v>615</v>
      </c>
      <c r="C25" s="82" t="s">
        <v>1210</v>
      </c>
      <c r="D25" s="83" t="s">
        <v>605</v>
      </c>
      <c r="E25" s="82" t="s">
        <v>1211</v>
      </c>
      <c r="F25" s="82" t="s">
        <v>1212</v>
      </c>
    </row>
    <row r="26" spans="1:6" ht="27.95" customHeight="1">
      <c r="A26" s="82" t="s">
        <v>336</v>
      </c>
      <c r="B26" s="84" t="s">
        <v>603</v>
      </c>
      <c r="C26" s="82" t="s">
        <v>1213</v>
      </c>
      <c r="D26" s="83" t="s">
        <v>605</v>
      </c>
      <c r="E26" s="82" t="s">
        <v>648</v>
      </c>
      <c r="F26" s="82" t="s">
        <v>1214</v>
      </c>
    </row>
    <row r="27" spans="1:6" ht="27.95" customHeight="1">
      <c r="A27" s="82" t="s">
        <v>1215</v>
      </c>
      <c r="B27" s="85" t="s">
        <v>619</v>
      </c>
      <c r="C27" s="82" t="s">
        <v>650</v>
      </c>
      <c r="D27" s="83" t="s">
        <v>605</v>
      </c>
      <c r="E27" s="82" t="s">
        <v>651</v>
      </c>
      <c r="F27" s="82" t="s">
        <v>607</v>
      </c>
    </row>
    <row r="28" spans="1:6" ht="27.95" customHeight="1">
      <c r="A28" s="82" t="s">
        <v>1216</v>
      </c>
      <c r="B28" s="85" t="s">
        <v>619</v>
      </c>
      <c r="C28" s="82" t="s">
        <v>650</v>
      </c>
      <c r="D28" s="83" t="s">
        <v>605</v>
      </c>
      <c r="E28" s="82" t="s">
        <v>651</v>
      </c>
      <c r="F28" s="82" t="s">
        <v>607</v>
      </c>
    </row>
    <row r="29" spans="1:6" ht="27.95" customHeight="1">
      <c r="A29" s="82" t="s">
        <v>1217</v>
      </c>
      <c r="B29" s="85" t="s">
        <v>619</v>
      </c>
      <c r="C29" s="82" t="s">
        <v>650</v>
      </c>
      <c r="D29" s="83" t="s">
        <v>605</v>
      </c>
      <c r="E29" s="82" t="s">
        <v>651</v>
      </c>
      <c r="F29" s="82" t="s">
        <v>607</v>
      </c>
    </row>
    <row r="30" spans="1:6" ht="27.95" customHeight="1">
      <c r="A30" s="82" t="s">
        <v>1218</v>
      </c>
      <c r="B30" s="84" t="s">
        <v>603</v>
      </c>
      <c r="C30" s="82" t="s">
        <v>1219</v>
      </c>
      <c r="D30" s="83" t="s">
        <v>605</v>
      </c>
      <c r="E30" s="82" t="s">
        <v>606</v>
      </c>
      <c r="F30" s="82" t="s">
        <v>607</v>
      </c>
    </row>
    <row r="31" spans="1:6" ht="27.95" customHeight="1">
      <c r="A31" s="82" t="s">
        <v>340</v>
      </c>
      <c r="B31" s="84" t="s">
        <v>603</v>
      </c>
      <c r="C31" s="82" t="s">
        <v>1220</v>
      </c>
      <c r="D31" s="83" t="s">
        <v>605</v>
      </c>
      <c r="E31" s="82" t="s">
        <v>610</v>
      </c>
      <c r="F31" s="82" t="s">
        <v>1221</v>
      </c>
    </row>
    <row r="32" spans="1:6" ht="27.95" customHeight="1">
      <c r="A32" s="82" t="s">
        <v>1222</v>
      </c>
      <c r="B32" s="84" t="s">
        <v>603</v>
      </c>
      <c r="C32" s="82" t="s">
        <v>1191</v>
      </c>
      <c r="D32" s="83" t="s">
        <v>605</v>
      </c>
      <c r="E32" s="82" t="s">
        <v>606</v>
      </c>
      <c r="F32" s="82" t="s">
        <v>691</v>
      </c>
    </row>
    <row r="33" spans="1:6" ht="27.95" customHeight="1">
      <c r="A33" s="82" t="s">
        <v>1223</v>
      </c>
      <c r="B33" s="84" t="s">
        <v>603</v>
      </c>
      <c r="C33" s="82" t="s">
        <v>1224</v>
      </c>
      <c r="D33" s="83" t="s">
        <v>605</v>
      </c>
      <c r="E33" s="82" t="s">
        <v>610</v>
      </c>
      <c r="F33" s="82" t="s">
        <v>1225</v>
      </c>
    </row>
    <row r="34" spans="1:6" ht="27.95" customHeight="1">
      <c r="A34" s="82" t="s">
        <v>1226</v>
      </c>
      <c r="B34" s="85" t="s">
        <v>619</v>
      </c>
      <c r="C34" s="82" t="s">
        <v>930</v>
      </c>
      <c r="D34" s="83" t="s">
        <v>605</v>
      </c>
      <c r="E34" s="82" t="s">
        <v>620</v>
      </c>
      <c r="F34" s="82" t="s">
        <v>607</v>
      </c>
    </row>
    <row r="35" spans="1:6" ht="27.95" customHeight="1">
      <c r="A35" s="82" t="s">
        <v>1227</v>
      </c>
      <c r="B35" s="85" t="s">
        <v>619</v>
      </c>
      <c r="C35" s="82" t="s">
        <v>650</v>
      </c>
      <c r="D35" s="83" t="s">
        <v>605</v>
      </c>
      <c r="E35" s="82" t="s">
        <v>651</v>
      </c>
      <c r="F35" s="82" t="s">
        <v>607</v>
      </c>
    </row>
    <row r="36" spans="1:6" ht="27.95" customHeight="1">
      <c r="A36" s="82" t="s">
        <v>1228</v>
      </c>
      <c r="B36" s="84" t="s">
        <v>603</v>
      </c>
      <c r="C36" s="82" t="s">
        <v>1229</v>
      </c>
      <c r="D36" s="83" t="s">
        <v>605</v>
      </c>
      <c r="E36" s="82" t="s">
        <v>1230</v>
      </c>
      <c r="F36" s="82" t="s">
        <v>691</v>
      </c>
    </row>
    <row r="37" spans="1:6" ht="27.95" customHeight="1">
      <c r="A37" s="82" t="s">
        <v>1231</v>
      </c>
      <c r="B37" s="85" t="s">
        <v>619</v>
      </c>
      <c r="C37" s="82" t="s">
        <v>650</v>
      </c>
      <c r="D37" s="83" t="s">
        <v>605</v>
      </c>
      <c r="E37" s="82" t="s">
        <v>651</v>
      </c>
      <c r="F37" s="82" t="s">
        <v>607</v>
      </c>
    </row>
    <row r="38" spans="1:6" ht="27.95" customHeight="1">
      <c r="A38" s="82" t="s">
        <v>1232</v>
      </c>
      <c r="B38" s="84" t="s">
        <v>603</v>
      </c>
      <c r="C38" s="82" t="s">
        <v>1219</v>
      </c>
      <c r="D38" s="83" t="s">
        <v>605</v>
      </c>
      <c r="E38" s="82" t="s">
        <v>610</v>
      </c>
      <c r="F38" s="82" t="s">
        <v>607</v>
      </c>
    </row>
    <row r="39" spans="1:6" ht="27.95" customHeight="1">
      <c r="A39" s="82" t="s">
        <v>1233</v>
      </c>
      <c r="B39" s="84" t="s">
        <v>603</v>
      </c>
      <c r="C39" s="82" t="s">
        <v>1234</v>
      </c>
      <c r="D39" s="83" t="s">
        <v>605</v>
      </c>
      <c r="E39" s="82" t="s">
        <v>1235</v>
      </c>
      <c r="F39" s="82" t="s">
        <v>637</v>
      </c>
    </row>
    <row r="40" spans="1:6" ht="27.95" customHeight="1">
      <c r="A40" s="82" t="s">
        <v>1236</v>
      </c>
      <c r="B40" s="85" t="s">
        <v>619</v>
      </c>
      <c r="C40" s="82" t="s">
        <v>650</v>
      </c>
      <c r="D40" s="83" t="s">
        <v>605</v>
      </c>
      <c r="E40" s="82" t="s">
        <v>651</v>
      </c>
      <c r="F40" s="82" t="s">
        <v>607</v>
      </c>
    </row>
    <row r="41" spans="1:6" ht="27.95" customHeight="1">
      <c r="A41" s="82" t="s">
        <v>1237</v>
      </c>
      <c r="B41" s="85" t="s">
        <v>619</v>
      </c>
      <c r="C41" s="82" t="s">
        <v>650</v>
      </c>
      <c r="D41" s="83" t="s">
        <v>605</v>
      </c>
      <c r="E41" s="82" t="s">
        <v>651</v>
      </c>
      <c r="F41" s="82" t="s">
        <v>607</v>
      </c>
    </row>
    <row r="42" spans="1:6" ht="27.95" customHeight="1">
      <c r="A42" s="82" t="s">
        <v>1238</v>
      </c>
      <c r="B42" s="84" t="s">
        <v>603</v>
      </c>
      <c r="C42" s="82" t="s">
        <v>1239</v>
      </c>
      <c r="D42" s="83" t="s">
        <v>605</v>
      </c>
      <c r="E42" s="82" t="s">
        <v>606</v>
      </c>
      <c r="F42" s="82" t="s">
        <v>691</v>
      </c>
    </row>
    <row r="43" spans="1:6" ht="27.95" customHeight="1">
      <c r="A43" s="82" t="s">
        <v>1240</v>
      </c>
      <c r="B43" s="84" t="s">
        <v>603</v>
      </c>
      <c r="C43" s="82" t="s">
        <v>1241</v>
      </c>
      <c r="D43" s="83" t="s">
        <v>605</v>
      </c>
      <c r="E43" s="82" t="s">
        <v>1242</v>
      </c>
      <c r="F43" s="82" t="s">
        <v>607</v>
      </c>
    </row>
    <row r="44" spans="1:6" ht="27.95" customHeight="1">
      <c r="A44" s="82" t="s">
        <v>1243</v>
      </c>
      <c r="B44" s="85" t="s">
        <v>619</v>
      </c>
      <c r="C44" s="82" t="s">
        <v>650</v>
      </c>
      <c r="D44" s="83" t="s">
        <v>605</v>
      </c>
      <c r="E44" s="82" t="s">
        <v>651</v>
      </c>
      <c r="F44" s="82" t="s">
        <v>607</v>
      </c>
    </row>
    <row r="45" spans="1:6" ht="27.95" customHeight="1">
      <c r="A45" s="82" t="s">
        <v>1244</v>
      </c>
      <c r="B45" s="85" t="s">
        <v>619</v>
      </c>
      <c r="C45" s="82" t="s">
        <v>930</v>
      </c>
      <c r="D45" s="83" t="s">
        <v>605</v>
      </c>
      <c r="E45" s="82" t="s">
        <v>620</v>
      </c>
      <c r="F45" s="82" t="s">
        <v>607</v>
      </c>
    </row>
    <row r="46" spans="1:6" ht="27.95" customHeight="1">
      <c r="A46" s="82" t="s">
        <v>1245</v>
      </c>
      <c r="B46" s="85" t="s">
        <v>619</v>
      </c>
      <c r="C46" s="82" t="s">
        <v>650</v>
      </c>
      <c r="D46" s="83" t="s">
        <v>605</v>
      </c>
      <c r="E46" s="82" t="s">
        <v>651</v>
      </c>
      <c r="F46" s="82" t="s">
        <v>607</v>
      </c>
    </row>
    <row r="47" spans="1:6" ht="27.95" customHeight="1">
      <c r="A47" s="82" t="s">
        <v>1246</v>
      </c>
      <c r="B47" s="85" t="s">
        <v>619</v>
      </c>
      <c r="C47" s="82" t="s">
        <v>888</v>
      </c>
      <c r="D47" s="83" t="s">
        <v>605</v>
      </c>
      <c r="E47" s="82" t="s">
        <v>620</v>
      </c>
      <c r="F47" s="82" t="s">
        <v>607</v>
      </c>
    </row>
    <row r="48" spans="1:6" ht="27.95" customHeight="1">
      <c r="A48" s="82" t="s">
        <v>1247</v>
      </c>
      <c r="B48" s="85" t="s">
        <v>619</v>
      </c>
      <c r="C48" s="82" t="s">
        <v>650</v>
      </c>
      <c r="D48" s="83" t="s">
        <v>605</v>
      </c>
      <c r="E48" s="82" t="s">
        <v>651</v>
      </c>
      <c r="F48" s="82" t="s">
        <v>607</v>
      </c>
    </row>
    <row r="49" spans="1:6" ht="27.95" customHeight="1">
      <c r="A49" s="82" t="s">
        <v>1248</v>
      </c>
      <c r="B49" s="85" t="s">
        <v>619</v>
      </c>
      <c r="C49" s="82" t="s">
        <v>650</v>
      </c>
      <c r="D49" s="83" t="s">
        <v>605</v>
      </c>
      <c r="E49" s="82" t="s">
        <v>651</v>
      </c>
      <c r="F49" s="82" t="s">
        <v>607</v>
      </c>
    </row>
    <row r="50" spans="1:6" ht="27.95" customHeight="1">
      <c r="A50" s="82" t="s">
        <v>1249</v>
      </c>
      <c r="B50" s="85" t="s">
        <v>619</v>
      </c>
      <c r="C50" s="82" t="s">
        <v>650</v>
      </c>
      <c r="D50" s="83" t="s">
        <v>605</v>
      </c>
      <c r="E50" s="82" t="s">
        <v>651</v>
      </c>
      <c r="F50" s="82" t="s">
        <v>607</v>
      </c>
    </row>
    <row r="51" spans="1:6" ht="27.95" customHeight="1">
      <c r="A51" s="82" t="s">
        <v>1250</v>
      </c>
      <c r="B51" s="84" t="s">
        <v>603</v>
      </c>
      <c r="C51" s="82" t="s">
        <v>650</v>
      </c>
      <c r="D51" s="83" t="s">
        <v>605</v>
      </c>
      <c r="E51" s="82" t="s">
        <v>688</v>
      </c>
      <c r="F51" s="82" t="s">
        <v>607</v>
      </c>
    </row>
    <row r="52" spans="1:6" ht="27.95" customHeight="1">
      <c r="A52" s="82" t="s">
        <v>1251</v>
      </c>
      <c r="B52" s="85" t="s">
        <v>619</v>
      </c>
      <c r="C52" s="82" t="s">
        <v>650</v>
      </c>
      <c r="D52" s="83" t="s">
        <v>605</v>
      </c>
      <c r="E52" s="82" t="s">
        <v>651</v>
      </c>
      <c r="F52" s="82" t="s">
        <v>607</v>
      </c>
    </row>
    <row r="53" spans="1:6" ht="27.95" customHeight="1">
      <c r="A53" s="82" t="s">
        <v>1252</v>
      </c>
      <c r="B53" s="84" t="s">
        <v>603</v>
      </c>
      <c r="C53" s="82" t="s">
        <v>1253</v>
      </c>
      <c r="D53" s="83" t="s">
        <v>605</v>
      </c>
      <c r="E53" s="82" t="s">
        <v>610</v>
      </c>
      <c r="F53" s="82" t="s">
        <v>1254</v>
      </c>
    </row>
    <row r="54" spans="1:6" ht="27.95" customHeight="1">
      <c r="A54" s="82" t="s">
        <v>1255</v>
      </c>
      <c r="B54" s="84" t="s">
        <v>603</v>
      </c>
      <c r="C54" s="82" t="s">
        <v>1219</v>
      </c>
      <c r="D54" s="83" t="s">
        <v>605</v>
      </c>
      <c r="E54" s="82" t="s">
        <v>606</v>
      </c>
      <c r="F54" s="82" t="s">
        <v>607</v>
      </c>
    </row>
    <row r="55" spans="1:6" ht="27.95" customHeight="1">
      <c r="A55" s="82" t="s">
        <v>1256</v>
      </c>
      <c r="B55" s="85" t="s">
        <v>619</v>
      </c>
      <c r="C55" s="82" t="s">
        <v>888</v>
      </c>
      <c r="D55" s="83" t="s">
        <v>605</v>
      </c>
      <c r="E55" s="82" t="s">
        <v>620</v>
      </c>
      <c r="F55" s="82" t="s">
        <v>607</v>
      </c>
    </row>
    <row r="56" spans="1:6" ht="27.95" customHeight="1">
      <c r="A56" s="82" t="s">
        <v>1257</v>
      </c>
      <c r="B56" s="84" t="s">
        <v>603</v>
      </c>
      <c r="C56" s="82" t="s">
        <v>650</v>
      </c>
      <c r="D56" s="83" t="s">
        <v>605</v>
      </c>
      <c r="E56" s="82" t="s">
        <v>688</v>
      </c>
      <c r="F56" s="82" t="s">
        <v>607</v>
      </c>
    </row>
    <row r="57" spans="1:6" ht="27.95" customHeight="1">
      <c r="A57" s="82" t="s">
        <v>1258</v>
      </c>
      <c r="B57" s="85" t="s">
        <v>619</v>
      </c>
      <c r="C57" s="82" t="s">
        <v>888</v>
      </c>
      <c r="D57" s="83" t="s">
        <v>605</v>
      </c>
      <c r="E57" s="82" t="s">
        <v>620</v>
      </c>
      <c r="F57" s="82" t="s">
        <v>607</v>
      </c>
    </row>
    <row r="58" spans="1:6" ht="27.95" customHeight="1">
      <c r="A58" s="82" t="s">
        <v>1259</v>
      </c>
      <c r="B58" s="85" t="s">
        <v>619</v>
      </c>
      <c r="C58" s="82" t="s">
        <v>650</v>
      </c>
      <c r="D58" s="83" t="s">
        <v>605</v>
      </c>
      <c r="E58" s="82" t="s">
        <v>651</v>
      </c>
      <c r="F58" s="82" t="s">
        <v>607</v>
      </c>
    </row>
    <row r="59" spans="1:6" ht="27.95" customHeight="1">
      <c r="A59" s="82" t="s">
        <v>1260</v>
      </c>
      <c r="B59" s="85" t="s">
        <v>619</v>
      </c>
      <c r="C59" s="82" t="s">
        <v>888</v>
      </c>
      <c r="D59" s="83" t="s">
        <v>605</v>
      </c>
      <c r="E59" s="82" t="s">
        <v>620</v>
      </c>
      <c r="F59" s="82" t="s">
        <v>607</v>
      </c>
    </row>
    <row r="60" spans="1:6" ht="27.95" customHeight="1">
      <c r="A60" s="82" t="s">
        <v>1261</v>
      </c>
      <c r="B60" s="84" t="s">
        <v>603</v>
      </c>
      <c r="C60" s="82" t="s">
        <v>793</v>
      </c>
      <c r="D60" s="83" t="s">
        <v>605</v>
      </c>
      <c r="E60" s="82" t="s">
        <v>610</v>
      </c>
      <c r="F60" s="82" t="s">
        <v>607</v>
      </c>
    </row>
    <row r="61" spans="1:6" ht="27.95" customHeight="1">
      <c r="A61" s="82" t="s">
        <v>1262</v>
      </c>
      <c r="B61" s="84" t="s">
        <v>603</v>
      </c>
      <c r="C61" s="82" t="s">
        <v>1263</v>
      </c>
      <c r="D61" s="83" t="s">
        <v>605</v>
      </c>
      <c r="E61" s="82" t="s">
        <v>606</v>
      </c>
      <c r="F61" s="82" t="s">
        <v>691</v>
      </c>
    </row>
    <row r="62" spans="1:6" ht="27.95" customHeight="1">
      <c r="A62" s="82" t="s">
        <v>1264</v>
      </c>
      <c r="B62" s="85" t="s">
        <v>619</v>
      </c>
      <c r="C62" s="82" t="s">
        <v>650</v>
      </c>
      <c r="D62" s="83" t="s">
        <v>605</v>
      </c>
      <c r="E62" s="82" t="s">
        <v>651</v>
      </c>
      <c r="F62" s="82" t="s">
        <v>607</v>
      </c>
    </row>
    <row r="63" spans="1:6" ht="27.95" customHeight="1">
      <c r="A63" s="82" t="s">
        <v>1265</v>
      </c>
      <c r="B63" s="84" t="s">
        <v>603</v>
      </c>
      <c r="C63" s="82" t="s">
        <v>1266</v>
      </c>
      <c r="D63" s="83" t="s">
        <v>605</v>
      </c>
      <c r="E63" s="82" t="s">
        <v>905</v>
      </c>
      <c r="F63" s="82" t="s">
        <v>637</v>
      </c>
    </row>
    <row r="64" spans="1:6" ht="27.95" customHeight="1">
      <c r="A64" s="82" t="s">
        <v>1267</v>
      </c>
      <c r="B64" s="85" t="s">
        <v>619</v>
      </c>
      <c r="C64" s="82" t="s">
        <v>650</v>
      </c>
      <c r="D64" s="83" t="s">
        <v>605</v>
      </c>
      <c r="E64" s="82" t="s">
        <v>651</v>
      </c>
      <c r="F64" s="82" t="s">
        <v>607</v>
      </c>
    </row>
    <row r="65" spans="1:6" ht="27.95" customHeight="1">
      <c r="A65" s="82" t="s">
        <v>1268</v>
      </c>
      <c r="B65" s="85" t="s">
        <v>619</v>
      </c>
      <c r="C65" s="90" t="s">
        <v>650</v>
      </c>
      <c r="D65" s="91" t="s">
        <v>605</v>
      </c>
      <c r="E65" s="82" t="s">
        <v>651</v>
      </c>
      <c r="F65" s="82" t="s">
        <v>607</v>
      </c>
    </row>
    <row r="66" spans="1:6" ht="27.95" customHeight="1">
      <c r="A66" s="82" t="s">
        <v>1269</v>
      </c>
      <c r="B66" s="85" t="s">
        <v>619</v>
      </c>
      <c r="C66" s="90" t="s">
        <v>650</v>
      </c>
      <c r="D66" s="91" t="s">
        <v>605</v>
      </c>
      <c r="E66" s="82" t="s">
        <v>651</v>
      </c>
      <c r="F66" s="82" t="s">
        <v>607</v>
      </c>
    </row>
    <row r="67" spans="1:6" ht="27.95" customHeight="1">
      <c r="A67" s="82" t="s">
        <v>1270</v>
      </c>
      <c r="B67" s="85" t="s">
        <v>619</v>
      </c>
      <c r="C67" s="90" t="s">
        <v>650</v>
      </c>
      <c r="D67" s="91" t="s">
        <v>605</v>
      </c>
      <c r="E67" s="82" t="s">
        <v>651</v>
      </c>
      <c r="F67" s="82" t="s">
        <v>607</v>
      </c>
    </row>
    <row r="68" spans="1:6" ht="27.95" customHeight="1">
      <c r="A68" s="82" t="s">
        <v>1271</v>
      </c>
      <c r="B68" s="85" t="s">
        <v>619</v>
      </c>
      <c r="C68" s="90" t="s">
        <v>650</v>
      </c>
      <c r="D68" s="91" t="s">
        <v>605</v>
      </c>
      <c r="E68" s="82" t="s">
        <v>651</v>
      </c>
      <c r="F68" s="82" t="s">
        <v>607</v>
      </c>
    </row>
    <row r="69" spans="1:6" ht="27.95" customHeight="1">
      <c r="A69" s="82" t="s">
        <v>1272</v>
      </c>
      <c r="B69" s="85" t="s">
        <v>619</v>
      </c>
      <c r="C69" s="90" t="s">
        <v>888</v>
      </c>
      <c r="D69" s="91" t="s">
        <v>605</v>
      </c>
      <c r="E69" s="82" t="s">
        <v>620</v>
      </c>
      <c r="F69" s="82" t="s">
        <v>607</v>
      </c>
    </row>
    <row r="70" spans="1:6" ht="27.95" customHeight="1">
      <c r="A70" s="82" t="s">
        <v>1273</v>
      </c>
      <c r="B70" s="85" t="s">
        <v>619</v>
      </c>
      <c r="C70" s="93" t="s">
        <v>650</v>
      </c>
      <c r="D70" s="83" t="s">
        <v>605</v>
      </c>
      <c r="E70" s="82" t="s">
        <v>651</v>
      </c>
      <c r="F70" s="82" t="s">
        <v>607</v>
      </c>
    </row>
    <row r="71" spans="1:6" ht="27.95" customHeight="1">
      <c r="A71" s="82" t="s">
        <v>1274</v>
      </c>
      <c r="B71" s="84" t="s">
        <v>603</v>
      </c>
      <c r="C71" s="82" t="s">
        <v>1033</v>
      </c>
      <c r="D71" s="83" t="s">
        <v>605</v>
      </c>
      <c r="E71" s="82" t="s">
        <v>606</v>
      </c>
      <c r="F71" s="82" t="s">
        <v>607</v>
      </c>
    </row>
    <row r="72" spans="1:6" ht="27.95" customHeight="1">
      <c r="A72" s="82" t="s">
        <v>1275</v>
      </c>
      <c r="B72" s="84" t="s">
        <v>603</v>
      </c>
      <c r="C72" s="93" t="s">
        <v>626</v>
      </c>
      <c r="D72" s="83" t="s">
        <v>605</v>
      </c>
      <c r="E72" s="82" t="s">
        <v>683</v>
      </c>
      <c r="F72" s="82" t="s">
        <v>607</v>
      </c>
    </row>
    <row r="73" spans="1:6" ht="27.95" customHeight="1">
      <c r="A73" s="82" t="s">
        <v>1276</v>
      </c>
      <c r="B73" s="85" t="s">
        <v>619</v>
      </c>
      <c r="C73" s="82" t="s">
        <v>650</v>
      </c>
      <c r="D73" s="83" t="s">
        <v>605</v>
      </c>
      <c r="E73" s="82" t="s">
        <v>651</v>
      </c>
      <c r="F73" s="82" t="s">
        <v>607</v>
      </c>
    </row>
    <row r="74" spans="1:6" ht="27.95" customHeight="1">
      <c r="A74" s="82" t="s">
        <v>1277</v>
      </c>
      <c r="B74" s="85" t="s">
        <v>619</v>
      </c>
      <c r="C74" s="93" t="s">
        <v>650</v>
      </c>
      <c r="D74" s="83" t="s">
        <v>605</v>
      </c>
      <c r="E74" s="82" t="s">
        <v>651</v>
      </c>
      <c r="F74" s="82" t="s">
        <v>607</v>
      </c>
    </row>
    <row r="75" spans="1:6" ht="27.95" customHeight="1">
      <c r="A75" s="82" t="s">
        <v>1278</v>
      </c>
      <c r="B75" s="85" t="s">
        <v>619</v>
      </c>
      <c r="C75" s="93" t="s">
        <v>1263</v>
      </c>
      <c r="D75" s="83" t="s">
        <v>605</v>
      </c>
      <c r="E75" s="82" t="s">
        <v>620</v>
      </c>
      <c r="F75" s="82" t="s">
        <v>607</v>
      </c>
    </row>
    <row r="76" spans="1:6" ht="27.95" customHeight="1">
      <c r="A76" s="82" t="s">
        <v>1279</v>
      </c>
      <c r="B76" s="85" t="s">
        <v>619</v>
      </c>
      <c r="C76" s="93" t="s">
        <v>650</v>
      </c>
      <c r="D76" s="83" t="s">
        <v>605</v>
      </c>
      <c r="E76" s="82" t="s">
        <v>651</v>
      </c>
      <c r="F76" s="82" t="s">
        <v>607</v>
      </c>
    </row>
    <row r="77" spans="1:6" ht="27.95" customHeight="1">
      <c r="A77" s="82" t="s">
        <v>1280</v>
      </c>
      <c r="B77" s="85" t="s">
        <v>619</v>
      </c>
      <c r="C77" s="82" t="s">
        <v>888</v>
      </c>
      <c r="D77" s="83" t="s">
        <v>605</v>
      </c>
      <c r="E77" s="82" t="s">
        <v>620</v>
      </c>
      <c r="F77" s="82" t="s">
        <v>607</v>
      </c>
    </row>
    <row r="78" spans="1:6" ht="27.95" customHeight="1">
      <c r="A78" s="82" t="s">
        <v>1281</v>
      </c>
      <c r="B78" s="85" t="s">
        <v>619</v>
      </c>
      <c r="C78" s="82" t="s">
        <v>650</v>
      </c>
      <c r="D78" s="83" t="s">
        <v>605</v>
      </c>
      <c r="E78" s="82" t="s">
        <v>651</v>
      </c>
      <c r="F78" s="82" t="s">
        <v>607</v>
      </c>
    </row>
    <row r="80" spans="1:6" ht="15">
      <c r="C80" s="88" t="s">
        <v>633</v>
      </c>
      <c r="D80" s="89" t="str">
        <f>COUNTIF(D2:D78,"☑")&amp;" / "&amp;COUNTA(A2:A78)</f>
        <v>0 / 77</v>
      </c>
    </row>
  </sheetData>
  <conditionalFormatting sqref="B2:B63">
    <cfRule type="expression" dxfId="119" priority="1">
      <formula>B2="A"</formula>
    </cfRule>
    <cfRule type="expression" dxfId="118" priority="2">
      <formula>B2="B"</formula>
    </cfRule>
    <cfRule type="expression" dxfId="117" priority="3">
      <formula>B2="C"</formula>
    </cfRule>
  </conditionalFormatting>
  <conditionalFormatting sqref="D2:D74">
    <cfRule type="expression" dxfId="116" priority="4">
      <formula>D2="☑"</formula>
    </cfRule>
  </conditionalFormatting>
  <conditionalFormatting sqref="D2:D78">
    <cfRule type="expression" dxfId="115" priority="15">
      <formula>D2="☑"</formula>
    </cfRule>
  </conditionalFormatting>
  <dataValidations count="1">
    <dataValidation type="list" sqref="D2:D78" xr:uid="{00000000-0002-0000-0E00-000000000000}">
      <formula1>"☐,☑"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69"/>
  <sheetViews>
    <sheetView workbookViewId="0"/>
  </sheetViews>
  <sheetFormatPr defaultRowHeight="14.25"/>
  <cols>
    <col min="1" max="1" width="34" customWidth="1"/>
    <col min="2" max="2" width="10" customWidth="1"/>
    <col min="3" max="3" width="50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81" t="s">
        <v>598</v>
      </c>
      <c r="B1" s="81" t="s">
        <v>599</v>
      </c>
      <c r="C1" s="81" t="s">
        <v>13</v>
      </c>
      <c r="D1" s="81" t="s">
        <v>3</v>
      </c>
      <c r="E1" s="81" t="s">
        <v>600</v>
      </c>
      <c r="F1" s="81" t="s">
        <v>601</v>
      </c>
    </row>
    <row r="2" spans="1:6" ht="27.95" customHeight="1">
      <c r="A2" s="82" t="s">
        <v>1282</v>
      </c>
      <c r="B2" s="85" t="s">
        <v>619</v>
      </c>
      <c r="C2" s="82" t="s">
        <v>650</v>
      </c>
      <c r="D2" s="83" t="s">
        <v>605</v>
      </c>
      <c r="E2" s="82" t="s">
        <v>651</v>
      </c>
      <c r="F2" s="82" t="s">
        <v>607</v>
      </c>
    </row>
    <row r="3" spans="1:6" ht="27.95" customHeight="1">
      <c r="A3" s="82" t="s">
        <v>1283</v>
      </c>
      <c r="B3" s="85" t="s">
        <v>619</v>
      </c>
      <c r="C3" s="82" t="s">
        <v>650</v>
      </c>
      <c r="D3" s="83" t="s">
        <v>605</v>
      </c>
      <c r="E3" s="82" t="s">
        <v>651</v>
      </c>
      <c r="F3" s="82" t="s">
        <v>607</v>
      </c>
    </row>
    <row r="4" spans="1:6" ht="27.95" customHeight="1">
      <c r="A4" s="82" t="s">
        <v>1284</v>
      </c>
      <c r="B4" s="85" t="s">
        <v>619</v>
      </c>
      <c r="C4" s="82" t="s">
        <v>650</v>
      </c>
      <c r="D4" s="83" t="s">
        <v>605</v>
      </c>
      <c r="E4" s="82" t="s">
        <v>651</v>
      </c>
      <c r="F4" s="82" t="s">
        <v>607</v>
      </c>
    </row>
    <row r="5" spans="1:6" ht="27.95" customHeight="1">
      <c r="A5" s="82" t="s">
        <v>1285</v>
      </c>
      <c r="B5" s="84" t="s">
        <v>603</v>
      </c>
      <c r="C5" s="82" t="s">
        <v>1286</v>
      </c>
      <c r="D5" s="83" t="s">
        <v>605</v>
      </c>
      <c r="E5" s="82" t="s">
        <v>606</v>
      </c>
      <c r="F5" s="82" t="s">
        <v>1287</v>
      </c>
    </row>
    <row r="6" spans="1:6" ht="27.95" customHeight="1">
      <c r="A6" s="82" t="s">
        <v>1288</v>
      </c>
      <c r="B6" s="84" t="s">
        <v>603</v>
      </c>
      <c r="C6" s="82" t="s">
        <v>1289</v>
      </c>
      <c r="D6" s="83" t="s">
        <v>605</v>
      </c>
      <c r="E6" s="82" t="s">
        <v>1202</v>
      </c>
      <c r="F6" s="82" t="s">
        <v>637</v>
      </c>
    </row>
    <row r="7" spans="1:6" ht="27.95" customHeight="1">
      <c r="A7" s="82" t="s">
        <v>1290</v>
      </c>
      <c r="B7" s="85" t="s">
        <v>619</v>
      </c>
      <c r="C7" s="82" t="s">
        <v>650</v>
      </c>
      <c r="D7" s="83" t="s">
        <v>605</v>
      </c>
      <c r="E7" s="82" t="s">
        <v>651</v>
      </c>
      <c r="F7" s="82" t="s">
        <v>607</v>
      </c>
    </row>
    <row r="8" spans="1:6" ht="27.95" customHeight="1">
      <c r="A8" s="82" t="s">
        <v>1291</v>
      </c>
      <c r="B8" s="85" t="s">
        <v>619</v>
      </c>
      <c r="C8" s="82" t="s">
        <v>650</v>
      </c>
      <c r="D8" s="83" t="s">
        <v>605</v>
      </c>
      <c r="E8" s="82" t="s">
        <v>651</v>
      </c>
      <c r="F8" s="82" t="s">
        <v>607</v>
      </c>
    </row>
    <row r="9" spans="1:6" ht="27.95" customHeight="1">
      <c r="A9" s="82" t="s">
        <v>1292</v>
      </c>
      <c r="B9" s="85" t="s">
        <v>619</v>
      </c>
      <c r="C9" s="82" t="s">
        <v>1293</v>
      </c>
      <c r="D9" s="83" t="s">
        <v>605</v>
      </c>
      <c r="E9" s="82" t="s">
        <v>620</v>
      </c>
      <c r="F9" s="82" t="s">
        <v>607</v>
      </c>
    </row>
    <row r="10" spans="1:6" ht="27.95" customHeight="1">
      <c r="A10" s="82" t="s">
        <v>1294</v>
      </c>
      <c r="B10" s="84" t="s">
        <v>603</v>
      </c>
      <c r="C10" s="82" t="s">
        <v>1116</v>
      </c>
      <c r="D10" s="83" t="s">
        <v>605</v>
      </c>
      <c r="E10" s="82" t="s">
        <v>678</v>
      </c>
      <c r="F10" s="82" t="s">
        <v>607</v>
      </c>
    </row>
    <row r="11" spans="1:6" ht="27.95" customHeight="1">
      <c r="A11" s="82" t="s">
        <v>1295</v>
      </c>
      <c r="B11" s="85" t="s">
        <v>619</v>
      </c>
      <c r="C11" s="82" t="s">
        <v>650</v>
      </c>
      <c r="D11" s="83" t="s">
        <v>605</v>
      </c>
      <c r="E11" s="82" t="s">
        <v>651</v>
      </c>
      <c r="F11" s="82" t="s">
        <v>607</v>
      </c>
    </row>
    <row r="12" spans="1:6" ht="27.95" customHeight="1">
      <c r="A12" s="82" t="s">
        <v>1296</v>
      </c>
      <c r="B12" s="85" t="s">
        <v>619</v>
      </c>
      <c r="C12" s="82" t="s">
        <v>888</v>
      </c>
      <c r="D12" s="83" t="s">
        <v>605</v>
      </c>
      <c r="E12" s="82" t="s">
        <v>620</v>
      </c>
      <c r="F12" s="82" t="s">
        <v>607</v>
      </c>
    </row>
    <row r="13" spans="1:6" ht="27.95" customHeight="1">
      <c r="A13" s="82" t="s">
        <v>1297</v>
      </c>
      <c r="B13" s="84" t="s">
        <v>603</v>
      </c>
      <c r="C13" s="82" t="s">
        <v>650</v>
      </c>
      <c r="D13" s="83" t="s">
        <v>605</v>
      </c>
      <c r="E13" s="82" t="s">
        <v>688</v>
      </c>
      <c r="F13" s="82" t="s">
        <v>607</v>
      </c>
    </row>
    <row r="14" spans="1:6" ht="27.95" customHeight="1">
      <c r="A14" s="82" t="s">
        <v>1298</v>
      </c>
      <c r="B14" s="84" t="s">
        <v>603</v>
      </c>
      <c r="C14" s="82" t="s">
        <v>1299</v>
      </c>
      <c r="D14" s="83" t="s">
        <v>605</v>
      </c>
      <c r="E14" s="82" t="s">
        <v>606</v>
      </c>
      <c r="F14" s="82" t="s">
        <v>691</v>
      </c>
    </row>
    <row r="15" spans="1:6" ht="27.95" customHeight="1">
      <c r="A15" s="82" t="s">
        <v>1300</v>
      </c>
      <c r="B15" s="85" t="s">
        <v>619</v>
      </c>
      <c r="C15" s="82" t="s">
        <v>650</v>
      </c>
      <c r="D15" s="83" t="s">
        <v>605</v>
      </c>
      <c r="E15" s="82" t="s">
        <v>651</v>
      </c>
      <c r="F15" s="82" t="s">
        <v>607</v>
      </c>
    </row>
    <row r="16" spans="1:6" ht="27.95" customHeight="1">
      <c r="A16" s="82" t="s">
        <v>1301</v>
      </c>
      <c r="B16" s="84" t="s">
        <v>603</v>
      </c>
      <c r="C16" s="82" t="s">
        <v>330</v>
      </c>
      <c r="D16" s="83" t="s">
        <v>605</v>
      </c>
      <c r="E16" s="82" t="s">
        <v>606</v>
      </c>
      <c r="F16" s="82" t="s">
        <v>607</v>
      </c>
    </row>
    <row r="17" spans="1:6" ht="27.95" customHeight="1">
      <c r="A17" s="82" t="s">
        <v>1302</v>
      </c>
      <c r="B17" s="86" t="s">
        <v>615</v>
      </c>
      <c r="C17" s="82" t="s">
        <v>1303</v>
      </c>
      <c r="D17" s="83" t="s">
        <v>605</v>
      </c>
      <c r="E17" s="82" t="s">
        <v>753</v>
      </c>
      <c r="F17" s="82" t="s">
        <v>637</v>
      </c>
    </row>
    <row r="18" spans="1:6" ht="27.95" customHeight="1">
      <c r="A18" s="82" t="s">
        <v>1304</v>
      </c>
      <c r="B18" s="84" t="s">
        <v>603</v>
      </c>
      <c r="C18" s="82" t="s">
        <v>609</v>
      </c>
      <c r="D18" s="83" t="s">
        <v>605</v>
      </c>
      <c r="E18" s="82" t="s">
        <v>610</v>
      </c>
      <c r="F18" s="82" t="s">
        <v>607</v>
      </c>
    </row>
    <row r="19" spans="1:6" ht="27.95" customHeight="1">
      <c r="A19" s="82" t="s">
        <v>1305</v>
      </c>
      <c r="B19" s="85" t="s">
        <v>619</v>
      </c>
      <c r="C19" s="82" t="s">
        <v>888</v>
      </c>
      <c r="D19" s="83" t="s">
        <v>605</v>
      </c>
      <c r="E19" s="82" t="s">
        <v>620</v>
      </c>
      <c r="F19" s="82" t="s">
        <v>607</v>
      </c>
    </row>
    <row r="20" spans="1:6" ht="27.95" customHeight="1">
      <c r="A20" s="82" t="s">
        <v>1306</v>
      </c>
      <c r="B20" s="85" t="s">
        <v>619</v>
      </c>
      <c r="C20" s="82" t="s">
        <v>650</v>
      </c>
      <c r="D20" s="83" t="s">
        <v>605</v>
      </c>
      <c r="E20" s="82" t="s">
        <v>651</v>
      </c>
      <c r="F20" s="82" t="s">
        <v>607</v>
      </c>
    </row>
    <row r="21" spans="1:6" ht="27.95" customHeight="1">
      <c r="A21" s="82" t="s">
        <v>525</v>
      </c>
      <c r="B21" s="84" t="s">
        <v>603</v>
      </c>
      <c r="C21" s="82" t="s">
        <v>1307</v>
      </c>
      <c r="D21" s="83" t="s">
        <v>605</v>
      </c>
      <c r="E21" s="82" t="s">
        <v>1308</v>
      </c>
      <c r="F21" s="82" t="s">
        <v>637</v>
      </c>
    </row>
    <row r="22" spans="1:6" ht="27.95" customHeight="1">
      <c r="A22" s="82" t="s">
        <v>1309</v>
      </c>
      <c r="B22" s="85" t="s">
        <v>619</v>
      </c>
      <c r="C22" s="82" t="s">
        <v>650</v>
      </c>
      <c r="D22" s="83" t="s">
        <v>605</v>
      </c>
      <c r="E22" s="82" t="s">
        <v>651</v>
      </c>
      <c r="F22" s="82" t="s">
        <v>607</v>
      </c>
    </row>
    <row r="23" spans="1:6" ht="27.95" customHeight="1">
      <c r="A23" s="82" t="s">
        <v>1310</v>
      </c>
      <c r="B23" s="86" t="s">
        <v>615</v>
      </c>
      <c r="C23" s="82" t="s">
        <v>1311</v>
      </c>
      <c r="D23" s="83" t="s">
        <v>605</v>
      </c>
      <c r="E23" s="82" t="s">
        <v>753</v>
      </c>
      <c r="F23" s="82" t="s">
        <v>637</v>
      </c>
    </row>
    <row r="24" spans="1:6" ht="27.95" customHeight="1">
      <c r="A24" s="82" t="s">
        <v>1312</v>
      </c>
      <c r="B24" s="84" t="s">
        <v>603</v>
      </c>
      <c r="C24" s="82" t="s">
        <v>650</v>
      </c>
      <c r="D24" s="83" t="s">
        <v>605</v>
      </c>
      <c r="E24" s="82" t="s">
        <v>688</v>
      </c>
      <c r="F24" s="82" t="s">
        <v>607</v>
      </c>
    </row>
    <row r="25" spans="1:6" ht="27.95" customHeight="1">
      <c r="A25" s="82" t="s">
        <v>1313</v>
      </c>
      <c r="B25" s="85" t="s">
        <v>619</v>
      </c>
      <c r="C25" s="82" t="s">
        <v>888</v>
      </c>
      <c r="D25" s="83" t="s">
        <v>605</v>
      </c>
      <c r="E25" s="82" t="s">
        <v>620</v>
      </c>
      <c r="F25" s="82" t="s">
        <v>607</v>
      </c>
    </row>
    <row r="26" spans="1:6" ht="27.95" customHeight="1">
      <c r="A26" s="82" t="s">
        <v>1314</v>
      </c>
      <c r="B26" s="85" t="s">
        <v>619</v>
      </c>
      <c r="C26" s="82" t="s">
        <v>650</v>
      </c>
      <c r="D26" s="83" t="s">
        <v>605</v>
      </c>
      <c r="E26" s="82" t="s">
        <v>651</v>
      </c>
      <c r="F26" s="82" t="s">
        <v>607</v>
      </c>
    </row>
    <row r="27" spans="1:6" ht="27.95" customHeight="1">
      <c r="A27" s="82" t="s">
        <v>1315</v>
      </c>
      <c r="B27" s="84" t="s">
        <v>603</v>
      </c>
      <c r="C27" s="82" t="s">
        <v>1196</v>
      </c>
      <c r="D27" s="83" t="s">
        <v>605</v>
      </c>
      <c r="E27" s="82" t="s">
        <v>606</v>
      </c>
      <c r="F27" s="82" t="s">
        <v>691</v>
      </c>
    </row>
    <row r="28" spans="1:6" ht="27.95" customHeight="1">
      <c r="A28" s="82" t="s">
        <v>1316</v>
      </c>
      <c r="B28" s="85" t="s">
        <v>619</v>
      </c>
      <c r="C28" s="82" t="s">
        <v>650</v>
      </c>
      <c r="D28" s="83" t="s">
        <v>605</v>
      </c>
      <c r="E28" s="82" t="s">
        <v>651</v>
      </c>
      <c r="F28" s="82" t="s">
        <v>607</v>
      </c>
    </row>
    <row r="29" spans="1:6" ht="27.95" customHeight="1">
      <c r="A29" s="82" t="s">
        <v>1317</v>
      </c>
      <c r="B29" s="85" t="s">
        <v>619</v>
      </c>
      <c r="C29" s="82" t="s">
        <v>650</v>
      </c>
      <c r="D29" s="83" t="s">
        <v>605</v>
      </c>
      <c r="E29" s="82" t="s">
        <v>651</v>
      </c>
      <c r="F29" s="82" t="s">
        <v>607</v>
      </c>
    </row>
    <row r="30" spans="1:6" ht="27.95" customHeight="1">
      <c r="A30" s="82" t="s">
        <v>1318</v>
      </c>
      <c r="B30" s="84" t="s">
        <v>603</v>
      </c>
      <c r="C30" s="82" t="s">
        <v>1319</v>
      </c>
      <c r="D30" s="83" t="s">
        <v>605</v>
      </c>
      <c r="E30" s="82" t="s">
        <v>815</v>
      </c>
      <c r="F30" s="82" t="s">
        <v>637</v>
      </c>
    </row>
    <row r="31" spans="1:6" ht="27.95" customHeight="1">
      <c r="A31" s="82" t="s">
        <v>1320</v>
      </c>
      <c r="B31" s="85" t="s">
        <v>619</v>
      </c>
      <c r="C31" s="82" t="s">
        <v>650</v>
      </c>
      <c r="D31" s="83" t="s">
        <v>605</v>
      </c>
      <c r="E31" s="82" t="s">
        <v>651</v>
      </c>
      <c r="F31" s="82" t="s">
        <v>607</v>
      </c>
    </row>
    <row r="32" spans="1:6" ht="27.95" customHeight="1">
      <c r="A32" s="82" t="s">
        <v>1321</v>
      </c>
      <c r="B32" s="85" t="s">
        <v>619</v>
      </c>
      <c r="C32" s="82" t="s">
        <v>650</v>
      </c>
      <c r="D32" s="83" t="s">
        <v>605</v>
      </c>
      <c r="E32" s="82" t="s">
        <v>651</v>
      </c>
      <c r="F32" s="82" t="s">
        <v>607</v>
      </c>
    </row>
    <row r="33" spans="1:6" ht="27.95" customHeight="1">
      <c r="A33" s="82" t="s">
        <v>1322</v>
      </c>
      <c r="B33" s="85" t="s">
        <v>619</v>
      </c>
      <c r="C33" s="82" t="s">
        <v>650</v>
      </c>
      <c r="D33" s="83" t="s">
        <v>605</v>
      </c>
      <c r="E33" s="82" t="s">
        <v>651</v>
      </c>
      <c r="F33" s="82" t="s">
        <v>607</v>
      </c>
    </row>
    <row r="34" spans="1:6" ht="27.95" customHeight="1">
      <c r="A34" s="82" t="s">
        <v>1323</v>
      </c>
      <c r="B34" s="85" t="s">
        <v>619</v>
      </c>
      <c r="C34" s="82" t="s">
        <v>650</v>
      </c>
      <c r="D34" s="83" t="s">
        <v>605</v>
      </c>
      <c r="E34" s="82" t="s">
        <v>651</v>
      </c>
      <c r="F34" s="82" t="s">
        <v>607</v>
      </c>
    </row>
    <row r="35" spans="1:6" ht="27.95" customHeight="1">
      <c r="A35" s="82" t="s">
        <v>1324</v>
      </c>
      <c r="B35" s="85" t="s">
        <v>619</v>
      </c>
      <c r="C35" s="82" t="s">
        <v>650</v>
      </c>
      <c r="D35" s="83" t="s">
        <v>605</v>
      </c>
      <c r="E35" s="82" t="s">
        <v>651</v>
      </c>
      <c r="F35" s="82" t="s">
        <v>607</v>
      </c>
    </row>
    <row r="36" spans="1:6" ht="27.95" customHeight="1">
      <c r="A36" s="82" t="s">
        <v>1325</v>
      </c>
      <c r="B36" s="84" t="s">
        <v>603</v>
      </c>
      <c r="C36" s="82" t="s">
        <v>609</v>
      </c>
      <c r="D36" s="83" t="s">
        <v>605</v>
      </c>
      <c r="E36" s="82" t="s">
        <v>610</v>
      </c>
      <c r="F36" s="82" t="s">
        <v>607</v>
      </c>
    </row>
    <row r="37" spans="1:6" ht="27.95" customHeight="1">
      <c r="A37" s="82" t="s">
        <v>1326</v>
      </c>
      <c r="B37" s="84" t="s">
        <v>603</v>
      </c>
      <c r="C37" s="82" t="s">
        <v>1327</v>
      </c>
      <c r="D37" s="83" t="s">
        <v>605</v>
      </c>
      <c r="E37" s="82" t="s">
        <v>1328</v>
      </c>
      <c r="F37" s="82" t="s">
        <v>637</v>
      </c>
    </row>
    <row r="38" spans="1:6" ht="27.95" customHeight="1">
      <c r="A38" s="82" t="s">
        <v>1329</v>
      </c>
      <c r="B38" s="85" t="s">
        <v>619</v>
      </c>
      <c r="C38" s="82" t="s">
        <v>650</v>
      </c>
      <c r="D38" s="83" t="s">
        <v>605</v>
      </c>
      <c r="E38" s="82" t="s">
        <v>651</v>
      </c>
      <c r="F38" s="82" t="s">
        <v>607</v>
      </c>
    </row>
    <row r="39" spans="1:6" ht="27.95" customHeight="1">
      <c r="A39" s="82" t="s">
        <v>1330</v>
      </c>
      <c r="B39" s="85" t="s">
        <v>619</v>
      </c>
      <c r="C39" s="82" t="s">
        <v>330</v>
      </c>
      <c r="D39" s="83" t="s">
        <v>605</v>
      </c>
      <c r="E39" s="82" t="s">
        <v>620</v>
      </c>
      <c r="F39" s="82" t="s">
        <v>607</v>
      </c>
    </row>
    <row r="40" spans="1:6" ht="27.95" customHeight="1">
      <c r="A40" s="82" t="s">
        <v>1331</v>
      </c>
      <c r="B40" s="85" t="s">
        <v>619</v>
      </c>
      <c r="C40" s="82" t="s">
        <v>650</v>
      </c>
      <c r="D40" s="83" t="s">
        <v>605</v>
      </c>
      <c r="E40" s="82" t="s">
        <v>651</v>
      </c>
      <c r="F40" s="82" t="s">
        <v>607</v>
      </c>
    </row>
    <row r="41" spans="1:6" ht="27.95" customHeight="1">
      <c r="A41" s="82" t="s">
        <v>1332</v>
      </c>
      <c r="B41" s="85" t="s">
        <v>619</v>
      </c>
      <c r="C41" s="82" t="s">
        <v>888</v>
      </c>
      <c r="D41" s="83" t="s">
        <v>605</v>
      </c>
      <c r="E41" s="82" t="s">
        <v>620</v>
      </c>
      <c r="F41" s="82" t="s">
        <v>607</v>
      </c>
    </row>
    <row r="42" spans="1:6" ht="27.95" customHeight="1">
      <c r="A42" s="82" t="s">
        <v>1333</v>
      </c>
      <c r="B42" s="84" t="s">
        <v>603</v>
      </c>
      <c r="C42" s="82" t="s">
        <v>854</v>
      </c>
      <c r="D42" s="83" t="s">
        <v>605</v>
      </c>
      <c r="E42" s="82" t="s">
        <v>610</v>
      </c>
      <c r="F42" s="82" t="s">
        <v>938</v>
      </c>
    </row>
    <row r="43" spans="1:6" ht="27.95" customHeight="1">
      <c r="A43" s="82" t="s">
        <v>1334</v>
      </c>
      <c r="B43" s="84" t="s">
        <v>603</v>
      </c>
      <c r="C43" s="82" t="s">
        <v>650</v>
      </c>
      <c r="D43" s="83" t="s">
        <v>605</v>
      </c>
      <c r="E43" s="82" t="s">
        <v>688</v>
      </c>
      <c r="F43" s="82" t="s">
        <v>607</v>
      </c>
    </row>
    <row r="44" spans="1:6" ht="27.95" customHeight="1">
      <c r="A44" s="82" t="s">
        <v>1335</v>
      </c>
      <c r="B44" s="84" t="s">
        <v>603</v>
      </c>
      <c r="C44" s="82" t="s">
        <v>629</v>
      </c>
      <c r="D44" s="83" t="s">
        <v>605</v>
      </c>
      <c r="E44" s="82" t="s">
        <v>610</v>
      </c>
      <c r="F44" s="82" t="s">
        <v>607</v>
      </c>
    </row>
    <row r="45" spans="1:6" ht="27.95" customHeight="1">
      <c r="A45" s="82" t="s">
        <v>1336</v>
      </c>
      <c r="B45" s="85" t="s">
        <v>619</v>
      </c>
      <c r="C45" s="82" t="s">
        <v>650</v>
      </c>
      <c r="D45" s="83" t="s">
        <v>605</v>
      </c>
      <c r="E45" s="82" t="s">
        <v>651</v>
      </c>
      <c r="F45" s="82" t="s">
        <v>607</v>
      </c>
    </row>
    <row r="46" spans="1:6" ht="27.95" customHeight="1">
      <c r="A46" s="82" t="s">
        <v>108</v>
      </c>
      <c r="B46" s="84" t="s">
        <v>603</v>
      </c>
      <c r="C46" s="82" t="s">
        <v>1337</v>
      </c>
      <c r="D46" s="83" t="s">
        <v>605</v>
      </c>
      <c r="E46" s="82" t="s">
        <v>610</v>
      </c>
      <c r="F46" s="82" t="s">
        <v>1021</v>
      </c>
    </row>
    <row r="47" spans="1:6" ht="27.95" customHeight="1">
      <c r="A47" s="82" t="s">
        <v>1338</v>
      </c>
      <c r="B47" s="84" t="s">
        <v>603</v>
      </c>
      <c r="C47" s="82" t="s">
        <v>951</v>
      </c>
      <c r="D47" s="83" t="s">
        <v>605</v>
      </c>
      <c r="E47" s="82" t="s">
        <v>606</v>
      </c>
      <c r="F47" s="82" t="s">
        <v>607</v>
      </c>
    </row>
    <row r="48" spans="1:6" ht="27.95" customHeight="1">
      <c r="A48" s="82" t="s">
        <v>1339</v>
      </c>
      <c r="B48" s="84" t="s">
        <v>603</v>
      </c>
      <c r="C48" s="82" t="s">
        <v>609</v>
      </c>
      <c r="D48" s="83" t="s">
        <v>605</v>
      </c>
      <c r="E48" s="82" t="s">
        <v>606</v>
      </c>
      <c r="F48" s="82" t="s">
        <v>691</v>
      </c>
    </row>
    <row r="49" spans="1:6" ht="27.95" customHeight="1">
      <c r="A49" s="82" t="s">
        <v>1340</v>
      </c>
      <c r="B49" s="84" t="s">
        <v>603</v>
      </c>
      <c r="C49" s="82" t="s">
        <v>1341</v>
      </c>
      <c r="D49" s="83" t="s">
        <v>605</v>
      </c>
      <c r="E49" s="82" t="s">
        <v>1342</v>
      </c>
      <c r="F49" s="82" t="s">
        <v>1343</v>
      </c>
    </row>
    <row r="50" spans="1:6" ht="27.95" customHeight="1">
      <c r="A50" s="82" t="s">
        <v>1344</v>
      </c>
      <c r="B50" s="85" t="s">
        <v>619</v>
      </c>
      <c r="C50" s="82" t="s">
        <v>650</v>
      </c>
      <c r="D50" s="83" t="s">
        <v>605</v>
      </c>
      <c r="E50" s="82" t="s">
        <v>651</v>
      </c>
      <c r="F50" s="82" t="s">
        <v>607</v>
      </c>
    </row>
    <row r="51" spans="1:6" ht="27.95" customHeight="1">
      <c r="A51" s="82" t="s">
        <v>1345</v>
      </c>
      <c r="B51" s="85" t="s">
        <v>619</v>
      </c>
      <c r="C51" s="82" t="s">
        <v>650</v>
      </c>
      <c r="D51" s="83" t="s">
        <v>605</v>
      </c>
      <c r="E51" s="82" t="s">
        <v>651</v>
      </c>
      <c r="F51" s="82" t="s">
        <v>607</v>
      </c>
    </row>
    <row r="52" spans="1:6" ht="27.95" customHeight="1">
      <c r="A52" s="82" t="s">
        <v>1346</v>
      </c>
      <c r="B52" s="84" t="s">
        <v>603</v>
      </c>
      <c r="C52" s="90" t="s">
        <v>626</v>
      </c>
      <c r="D52" s="91" t="s">
        <v>605</v>
      </c>
      <c r="E52" s="82" t="s">
        <v>606</v>
      </c>
      <c r="F52" s="82" t="s">
        <v>1021</v>
      </c>
    </row>
    <row r="53" spans="1:6" ht="27.95" customHeight="1">
      <c r="A53" s="82" t="s">
        <v>1347</v>
      </c>
      <c r="B53" s="85" t="s">
        <v>619</v>
      </c>
      <c r="C53" s="90" t="s">
        <v>650</v>
      </c>
      <c r="D53" s="91" t="s">
        <v>605</v>
      </c>
      <c r="E53" s="82" t="s">
        <v>651</v>
      </c>
      <c r="F53" s="82" t="s">
        <v>607</v>
      </c>
    </row>
    <row r="54" spans="1:6" ht="27.95" customHeight="1">
      <c r="A54" s="82" t="s">
        <v>1348</v>
      </c>
      <c r="B54" s="85" t="s">
        <v>619</v>
      </c>
      <c r="C54" s="90" t="s">
        <v>650</v>
      </c>
      <c r="D54" s="91" t="s">
        <v>605</v>
      </c>
      <c r="E54" s="82" t="s">
        <v>651</v>
      </c>
      <c r="F54" s="82" t="s">
        <v>607</v>
      </c>
    </row>
    <row r="55" spans="1:6" ht="27.95" customHeight="1">
      <c r="A55" s="82" t="s">
        <v>1349</v>
      </c>
      <c r="B55" s="85" t="s">
        <v>619</v>
      </c>
      <c r="C55" s="90" t="s">
        <v>888</v>
      </c>
      <c r="D55" s="91" t="s">
        <v>605</v>
      </c>
      <c r="E55" s="82" t="s">
        <v>620</v>
      </c>
      <c r="F55" s="82" t="s">
        <v>607</v>
      </c>
    </row>
    <row r="56" spans="1:6" ht="27.95" customHeight="1">
      <c r="A56" s="82" t="s">
        <v>1350</v>
      </c>
      <c r="B56" s="84" t="s">
        <v>603</v>
      </c>
      <c r="C56" s="90" t="s">
        <v>1351</v>
      </c>
      <c r="D56" s="91" t="s">
        <v>605</v>
      </c>
      <c r="E56" s="82" t="s">
        <v>606</v>
      </c>
      <c r="F56" s="82" t="s">
        <v>607</v>
      </c>
    </row>
    <row r="57" spans="1:6" ht="27.95" customHeight="1">
      <c r="A57" s="82" t="s">
        <v>1352</v>
      </c>
      <c r="B57" s="85" t="s">
        <v>619</v>
      </c>
      <c r="C57" s="90" t="s">
        <v>650</v>
      </c>
      <c r="D57" s="91" t="s">
        <v>605</v>
      </c>
      <c r="E57" s="82" t="s">
        <v>651</v>
      </c>
      <c r="F57" s="82" t="s">
        <v>607</v>
      </c>
    </row>
    <row r="58" spans="1:6" ht="27.95" customHeight="1">
      <c r="A58" s="82" t="s">
        <v>1353</v>
      </c>
      <c r="B58" s="85" t="s">
        <v>619</v>
      </c>
      <c r="C58" s="90" t="s">
        <v>1354</v>
      </c>
      <c r="D58" s="91" t="s">
        <v>605</v>
      </c>
      <c r="E58" s="82" t="s">
        <v>606</v>
      </c>
      <c r="F58" s="82" t="s">
        <v>1355</v>
      </c>
    </row>
    <row r="59" spans="1:6" ht="27.95" customHeight="1">
      <c r="A59" s="82" t="s">
        <v>1356</v>
      </c>
      <c r="B59" s="85" t="s">
        <v>619</v>
      </c>
      <c r="C59" s="93" t="s">
        <v>650</v>
      </c>
      <c r="D59" s="83" t="s">
        <v>605</v>
      </c>
      <c r="E59" s="82" t="s">
        <v>651</v>
      </c>
      <c r="F59" s="82" t="s">
        <v>607</v>
      </c>
    </row>
    <row r="60" spans="1:6" ht="27.95" customHeight="1">
      <c r="A60" s="82" t="s">
        <v>1357</v>
      </c>
      <c r="B60" s="84" t="s">
        <v>603</v>
      </c>
      <c r="C60" s="93" t="s">
        <v>1358</v>
      </c>
      <c r="D60" s="83" t="s">
        <v>605</v>
      </c>
      <c r="E60" s="82" t="s">
        <v>606</v>
      </c>
      <c r="F60" s="82" t="s">
        <v>607</v>
      </c>
    </row>
    <row r="61" spans="1:6" ht="27.95" customHeight="1">
      <c r="A61" s="82" t="s">
        <v>1359</v>
      </c>
      <c r="B61" s="85" t="s">
        <v>619</v>
      </c>
      <c r="C61" s="82" t="s">
        <v>650</v>
      </c>
      <c r="D61" s="83" t="s">
        <v>605</v>
      </c>
      <c r="E61" s="82" t="s">
        <v>651</v>
      </c>
      <c r="F61" s="82" t="s">
        <v>607</v>
      </c>
    </row>
    <row r="62" spans="1:6" ht="27.95" customHeight="1">
      <c r="A62" s="82" t="s">
        <v>1360</v>
      </c>
      <c r="B62" s="84" t="s">
        <v>603</v>
      </c>
      <c r="C62" s="93" t="s">
        <v>1361</v>
      </c>
      <c r="D62" s="83" t="s">
        <v>605</v>
      </c>
      <c r="E62" s="82" t="s">
        <v>606</v>
      </c>
      <c r="F62" s="82" t="s">
        <v>691</v>
      </c>
    </row>
    <row r="63" spans="1:6" ht="27.95" customHeight="1">
      <c r="A63" s="82" t="s">
        <v>1362</v>
      </c>
      <c r="B63" s="85" t="s">
        <v>619</v>
      </c>
      <c r="C63" s="82" t="s">
        <v>650</v>
      </c>
      <c r="D63" s="83" t="s">
        <v>605</v>
      </c>
      <c r="E63" s="82" t="s">
        <v>651</v>
      </c>
      <c r="F63" s="82" t="s">
        <v>607</v>
      </c>
    </row>
    <row r="64" spans="1:6" ht="27.95" customHeight="1">
      <c r="A64" s="82" t="s">
        <v>1363</v>
      </c>
      <c r="B64" s="84" t="s">
        <v>603</v>
      </c>
      <c r="C64" s="82" t="s">
        <v>1195</v>
      </c>
      <c r="D64" s="83" t="s">
        <v>605</v>
      </c>
      <c r="E64" s="82" t="s">
        <v>606</v>
      </c>
      <c r="F64" s="82" t="s">
        <v>691</v>
      </c>
    </row>
    <row r="65" spans="1:6" ht="27.95" customHeight="1">
      <c r="A65" s="82" t="s">
        <v>1364</v>
      </c>
      <c r="B65" s="84" t="s">
        <v>603</v>
      </c>
      <c r="C65" s="82" t="s">
        <v>1365</v>
      </c>
      <c r="D65" s="83" t="s">
        <v>605</v>
      </c>
      <c r="E65" s="82" t="s">
        <v>606</v>
      </c>
      <c r="F65" s="82" t="s">
        <v>691</v>
      </c>
    </row>
    <row r="66" spans="1:6" ht="27.95" customHeight="1">
      <c r="A66" s="82" t="s">
        <v>1366</v>
      </c>
      <c r="B66" s="85" t="s">
        <v>619</v>
      </c>
      <c r="C66" s="82" t="s">
        <v>650</v>
      </c>
      <c r="D66" s="83" t="s">
        <v>605</v>
      </c>
      <c r="E66" s="82" t="s">
        <v>651</v>
      </c>
      <c r="F66" s="82" t="s">
        <v>607</v>
      </c>
    </row>
    <row r="67" spans="1:6" ht="27.95" customHeight="1">
      <c r="A67" s="82" t="s">
        <v>1367</v>
      </c>
      <c r="B67" s="84" t="s">
        <v>603</v>
      </c>
      <c r="C67" s="82" t="s">
        <v>629</v>
      </c>
      <c r="D67" s="83" t="s">
        <v>605</v>
      </c>
      <c r="E67" s="82" t="s">
        <v>876</v>
      </c>
      <c r="F67" s="82" t="s">
        <v>607</v>
      </c>
    </row>
    <row r="68" spans="1:6" ht="15">
      <c r="C68" s="63"/>
      <c r="D68" s="63"/>
    </row>
    <row r="69" spans="1:6" ht="15">
      <c r="C69" s="88" t="s">
        <v>633</v>
      </c>
      <c r="D69" s="89" t="str">
        <f>COUNTIF(D2:D67,"☑")&amp;" / "&amp;COUNTA(A2:A67)</f>
        <v>0 / 66</v>
      </c>
    </row>
  </sheetData>
  <conditionalFormatting sqref="B2:B50">
    <cfRule type="expression" dxfId="114" priority="1">
      <formula>B2="A"</formula>
    </cfRule>
    <cfRule type="expression" dxfId="113" priority="2">
      <formula>B2="B"</formula>
    </cfRule>
    <cfRule type="expression" dxfId="112" priority="3">
      <formula>B2="C"</formula>
    </cfRule>
  </conditionalFormatting>
  <conditionalFormatting sqref="D2:D66">
    <cfRule type="expression" dxfId="111" priority="4">
      <formula>D2="☑"</formula>
    </cfRule>
  </conditionalFormatting>
  <conditionalFormatting sqref="D2:D67">
    <cfRule type="expression" dxfId="110" priority="16">
      <formula>D2="☑"</formula>
    </cfRule>
  </conditionalFormatting>
  <dataValidations count="1">
    <dataValidation type="list" sqref="D2:D67" xr:uid="{00000000-0002-0000-0F00-000000000000}">
      <formula1>"☐,☑"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56"/>
  <sheetViews>
    <sheetView workbookViewId="0"/>
  </sheetViews>
  <sheetFormatPr defaultRowHeight="14.25"/>
  <cols>
    <col min="1" max="1" width="34" customWidth="1"/>
    <col min="2" max="2" width="10" customWidth="1"/>
    <col min="3" max="3" width="44" customWidth="1"/>
    <col min="4" max="4" width="12" customWidth="1"/>
    <col min="5" max="5" width="42" customWidth="1"/>
    <col min="6" max="6" width="58" customWidth="1"/>
  </cols>
  <sheetData>
    <row r="1" spans="1:6" ht="21.95" customHeight="1">
      <c r="A1" s="57" t="s">
        <v>598</v>
      </c>
      <c r="B1" s="57" t="s">
        <v>599</v>
      </c>
      <c r="C1" s="57" t="s">
        <v>13</v>
      </c>
      <c r="D1" s="57" t="s">
        <v>3</v>
      </c>
      <c r="E1" s="57" t="s">
        <v>600</v>
      </c>
      <c r="F1" s="57" t="s">
        <v>601</v>
      </c>
    </row>
    <row r="2" spans="1:6" ht="26.1" customHeight="1">
      <c r="A2" s="58" t="s">
        <v>1368</v>
      </c>
      <c r="B2" s="61" t="s">
        <v>619</v>
      </c>
      <c r="C2" s="58" t="s">
        <v>650</v>
      </c>
      <c r="D2" s="59" t="s">
        <v>605</v>
      </c>
      <c r="E2" s="58" t="s">
        <v>651</v>
      </c>
      <c r="F2" s="58" t="s">
        <v>607</v>
      </c>
    </row>
    <row r="3" spans="1:6" ht="26.1" customHeight="1">
      <c r="A3" s="58" t="s">
        <v>1369</v>
      </c>
      <c r="B3" s="60" t="s">
        <v>603</v>
      </c>
      <c r="C3" s="58" t="s">
        <v>1370</v>
      </c>
      <c r="D3" s="59" t="s">
        <v>605</v>
      </c>
      <c r="E3" s="58" t="s">
        <v>610</v>
      </c>
      <c r="F3" s="58" t="s">
        <v>870</v>
      </c>
    </row>
    <row r="4" spans="1:6" ht="26.1" customHeight="1">
      <c r="A4" s="58" t="s">
        <v>1371</v>
      </c>
      <c r="B4" s="61" t="s">
        <v>619</v>
      </c>
      <c r="C4" s="58" t="s">
        <v>650</v>
      </c>
      <c r="D4" s="59" t="s">
        <v>605</v>
      </c>
      <c r="E4" s="58" t="s">
        <v>651</v>
      </c>
      <c r="F4" s="58" t="s">
        <v>607</v>
      </c>
    </row>
    <row r="5" spans="1:6" ht="26.1" customHeight="1">
      <c r="A5" s="58" t="s">
        <v>1372</v>
      </c>
      <c r="B5" s="61" t="s">
        <v>619</v>
      </c>
      <c r="C5" s="58" t="s">
        <v>650</v>
      </c>
      <c r="D5" s="59" t="s">
        <v>605</v>
      </c>
      <c r="E5" s="58" t="s">
        <v>651</v>
      </c>
      <c r="F5" s="58" t="s">
        <v>607</v>
      </c>
    </row>
    <row r="6" spans="1:6" ht="26.1" customHeight="1">
      <c r="A6" s="58" t="s">
        <v>1373</v>
      </c>
      <c r="B6" s="60" t="s">
        <v>603</v>
      </c>
      <c r="C6" s="58" t="s">
        <v>1374</v>
      </c>
      <c r="D6" s="59" t="s">
        <v>605</v>
      </c>
      <c r="E6" s="58" t="s">
        <v>606</v>
      </c>
      <c r="F6" s="58" t="s">
        <v>691</v>
      </c>
    </row>
    <row r="7" spans="1:6" ht="26.1" customHeight="1">
      <c r="A7" s="58" t="s">
        <v>341</v>
      </c>
      <c r="B7" s="60" t="s">
        <v>603</v>
      </c>
      <c r="C7" s="58" t="s">
        <v>1375</v>
      </c>
      <c r="D7" s="59" t="s">
        <v>605</v>
      </c>
      <c r="E7" s="58" t="s">
        <v>610</v>
      </c>
      <c r="F7" s="58" t="s">
        <v>1376</v>
      </c>
    </row>
    <row r="8" spans="1:6" ht="26.1" customHeight="1">
      <c r="A8" s="58" t="s">
        <v>1377</v>
      </c>
      <c r="B8" s="61" t="s">
        <v>619</v>
      </c>
      <c r="C8" s="58" t="s">
        <v>650</v>
      </c>
      <c r="D8" s="59" t="s">
        <v>605</v>
      </c>
      <c r="E8" s="58" t="s">
        <v>651</v>
      </c>
      <c r="F8" s="58" t="s">
        <v>607</v>
      </c>
    </row>
    <row r="9" spans="1:6" ht="26.1" customHeight="1">
      <c r="A9" s="58" t="s">
        <v>1378</v>
      </c>
      <c r="B9" s="60" t="s">
        <v>603</v>
      </c>
      <c r="C9" s="58" t="s">
        <v>888</v>
      </c>
      <c r="D9" s="59" t="s">
        <v>605</v>
      </c>
      <c r="E9" s="58" t="s">
        <v>606</v>
      </c>
      <c r="F9" s="58" t="s">
        <v>607</v>
      </c>
    </row>
    <row r="10" spans="1:6" ht="26.1" customHeight="1">
      <c r="A10" s="58" t="s">
        <v>1379</v>
      </c>
      <c r="B10" s="60" t="s">
        <v>603</v>
      </c>
      <c r="C10" s="58" t="s">
        <v>521</v>
      </c>
      <c r="D10" s="59" t="s">
        <v>605</v>
      </c>
      <c r="E10" s="58" t="s">
        <v>606</v>
      </c>
      <c r="F10" s="58" t="s">
        <v>607</v>
      </c>
    </row>
    <row r="11" spans="1:6" ht="26.1" customHeight="1">
      <c r="A11" s="58" t="s">
        <v>1380</v>
      </c>
      <c r="B11" s="61" t="s">
        <v>619</v>
      </c>
      <c r="C11" s="58" t="s">
        <v>650</v>
      </c>
      <c r="D11" s="59" t="s">
        <v>605</v>
      </c>
      <c r="E11" s="58" t="s">
        <v>651</v>
      </c>
      <c r="F11" s="58" t="s">
        <v>607</v>
      </c>
    </row>
    <row r="12" spans="1:6" ht="26.1" customHeight="1">
      <c r="A12" s="58" t="s">
        <v>1381</v>
      </c>
      <c r="B12" s="60" t="s">
        <v>603</v>
      </c>
      <c r="C12" s="58" t="s">
        <v>1382</v>
      </c>
      <c r="D12" s="59" t="s">
        <v>605</v>
      </c>
      <c r="E12" s="58" t="s">
        <v>610</v>
      </c>
      <c r="F12" s="58" t="s">
        <v>691</v>
      </c>
    </row>
    <row r="13" spans="1:6" ht="26.1" customHeight="1">
      <c r="A13" s="58" t="s">
        <v>1383</v>
      </c>
      <c r="B13" s="60" t="s">
        <v>603</v>
      </c>
      <c r="C13" s="58" t="s">
        <v>1384</v>
      </c>
      <c r="D13" s="59" t="s">
        <v>605</v>
      </c>
      <c r="E13" s="58" t="s">
        <v>606</v>
      </c>
      <c r="F13" s="58" t="s">
        <v>1385</v>
      </c>
    </row>
    <row r="14" spans="1:6" ht="26.1" customHeight="1">
      <c r="A14" s="58" t="s">
        <v>1386</v>
      </c>
      <c r="B14" s="61" t="s">
        <v>619</v>
      </c>
      <c r="C14" s="58" t="s">
        <v>650</v>
      </c>
      <c r="D14" s="59" t="s">
        <v>605</v>
      </c>
      <c r="E14" s="58" t="s">
        <v>651</v>
      </c>
      <c r="F14" s="58" t="s">
        <v>607</v>
      </c>
    </row>
    <row r="15" spans="1:6" ht="26.1" customHeight="1">
      <c r="A15" s="58" t="s">
        <v>1387</v>
      </c>
      <c r="B15" s="61" t="s">
        <v>619</v>
      </c>
      <c r="C15" s="58" t="s">
        <v>650</v>
      </c>
      <c r="D15" s="59" t="s">
        <v>605</v>
      </c>
      <c r="E15" s="58" t="s">
        <v>651</v>
      </c>
      <c r="F15" s="58" t="s">
        <v>607</v>
      </c>
    </row>
    <row r="16" spans="1:6" ht="26.1" customHeight="1">
      <c r="A16" s="58" t="s">
        <v>1388</v>
      </c>
      <c r="B16" s="62" t="s">
        <v>615</v>
      </c>
      <c r="C16" s="58" t="s">
        <v>1389</v>
      </c>
      <c r="D16" s="59" t="s">
        <v>605</v>
      </c>
      <c r="E16" s="58" t="s">
        <v>1390</v>
      </c>
      <c r="F16" s="58" t="s">
        <v>637</v>
      </c>
    </row>
    <row r="17" spans="1:6" ht="26.1" customHeight="1">
      <c r="A17" s="58" t="s">
        <v>1391</v>
      </c>
      <c r="B17" s="61" t="s">
        <v>619</v>
      </c>
      <c r="C17" s="58" t="s">
        <v>650</v>
      </c>
      <c r="D17" s="59" t="s">
        <v>605</v>
      </c>
      <c r="E17" s="58" t="s">
        <v>651</v>
      </c>
      <c r="F17" s="58" t="s">
        <v>607</v>
      </c>
    </row>
    <row r="18" spans="1:6" ht="26.1" customHeight="1">
      <c r="A18" s="58" t="s">
        <v>1392</v>
      </c>
      <c r="B18" s="60" t="s">
        <v>603</v>
      </c>
      <c r="C18" s="58" t="s">
        <v>1393</v>
      </c>
      <c r="D18" s="59" t="s">
        <v>605</v>
      </c>
      <c r="E18" s="58" t="s">
        <v>1394</v>
      </c>
      <c r="F18" s="58" t="s">
        <v>637</v>
      </c>
    </row>
    <row r="19" spans="1:6" ht="26.1" customHeight="1">
      <c r="A19" s="58" t="s">
        <v>1395</v>
      </c>
      <c r="B19" s="61" t="s">
        <v>619</v>
      </c>
      <c r="C19" s="58" t="s">
        <v>650</v>
      </c>
      <c r="D19" s="59" t="s">
        <v>605</v>
      </c>
      <c r="E19" s="58" t="s">
        <v>651</v>
      </c>
      <c r="F19" s="58" t="s">
        <v>607</v>
      </c>
    </row>
    <row r="20" spans="1:6" ht="26.1" customHeight="1">
      <c r="A20" s="58" t="s">
        <v>1396</v>
      </c>
      <c r="B20" s="60" t="s">
        <v>603</v>
      </c>
      <c r="C20" s="58" t="s">
        <v>1365</v>
      </c>
      <c r="D20" s="59" t="s">
        <v>605</v>
      </c>
      <c r="E20" s="58" t="s">
        <v>606</v>
      </c>
      <c r="F20" s="58" t="s">
        <v>691</v>
      </c>
    </row>
    <row r="21" spans="1:6" ht="26.1" customHeight="1">
      <c r="A21" s="58" t="s">
        <v>1397</v>
      </c>
      <c r="B21" s="60" t="s">
        <v>603</v>
      </c>
      <c r="C21" s="58" t="s">
        <v>1398</v>
      </c>
      <c r="D21" s="59" t="s">
        <v>605</v>
      </c>
      <c r="E21" s="58" t="s">
        <v>683</v>
      </c>
      <c r="F21" s="58" t="s">
        <v>607</v>
      </c>
    </row>
    <row r="22" spans="1:6" ht="26.1" customHeight="1">
      <c r="A22" s="58" t="s">
        <v>1399</v>
      </c>
      <c r="B22" s="60" t="s">
        <v>603</v>
      </c>
      <c r="C22" s="58" t="s">
        <v>1400</v>
      </c>
      <c r="D22" s="59" t="s">
        <v>605</v>
      </c>
      <c r="E22" s="58" t="s">
        <v>610</v>
      </c>
      <c r="F22" s="58" t="s">
        <v>691</v>
      </c>
    </row>
    <row r="23" spans="1:6" ht="26.1" customHeight="1">
      <c r="A23" s="58" t="s">
        <v>1401</v>
      </c>
      <c r="B23" s="61" t="s">
        <v>619</v>
      </c>
      <c r="C23" s="58" t="s">
        <v>650</v>
      </c>
      <c r="D23" s="59" t="s">
        <v>605</v>
      </c>
      <c r="E23" s="58" t="s">
        <v>651</v>
      </c>
      <c r="F23" s="58" t="s">
        <v>607</v>
      </c>
    </row>
    <row r="24" spans="1:6" ht="26.1" customHeight="1">
      <c r="A24" s="58" t="s">
        <v>1402</v>
      </c>
      <c r="B24" s="61" t="s">
        <v>619</v>
      </c>
      <c r="C24" s="58" t="s">
        <v>1403</v>
      </c>
      <c r="D24" s="59" t="s">
        <v>605</v>
      </c>
      <c r="E24" s="58" t="s">
        <v>620</v>
      </c>
      <c r="F24" s="58" t="s">
        <v>607</v>
      </c>
    </row>
    <row r="25" spans="1:6" ht="26.1" customHeight="1">
      <c r="A25" s="58" t="s">
        <v>119</v>
      </c>
      <c r="B25" s="60" t="s">
        <v>603</v>
      </c>
      <c r="C25" s="58" t="s">
        <v>1404</v>
      </c>
      <c r="D25" s="59" t="s">
        <v>605</v>
      </c>
      <c r="E25" s="58" t="s">
        <v>610</v>
      </c>
      <c r="F25" s="58" t="s">
        <v>1021</v>
      </c>
    </row>
    <row r="26" spans="1:6" ht="26.1" customHeight="1">
      <c r="A26" s="58" t="s">
        <v>1405</v>
      </c>
      <c r="B26" s="60" t="s">
        <v>603</v>
      </c>
      <c r="C26" s="58" t="s">
        <v>888</v>
      </c>
      <c r="D26" s="59" t="s">
        <v>605</v>
      </c>
      <c r="E26" s="58" t="s">
        <v>606</v>
      </c>
      <c r="F26" s="58" t="s">
        <v>607</v>
      </c>
    </row>
    <row r="27" spans="1:6" ht="26.1" customHeight="1">
      <c r="A27" s="58" t="s">
        <v>1406</v>
      </c>
      <c r="B27" s="61" t="s">
        <v>619</v>
      </c>
      <c r="C27" s="58" t="s">
        <v>650</v>
      </c>
      <c r="D27" s="59" t="s">
        <v>605</v>
      </c>
      <c r="E27" s="58" t="s">
        <v>651</v>
      </c>
      <c r="F27" s="58" t="s">
        <v>607</v>
      </c>
    </row>
    <row r="28" spans="1:6" ht="26.1" customHeight="1">
      <c r="A28" s="58" t="s">
        <v>1407</v>
      </c>
      <c r="B28" s="61" t="s">
        <v>619</v>
      </c>
      <c r="C28" s="58" t="s">
        <v>795</v>
      </c>
      <c r="D28" s="59" t="s">
        <v>605</v>
      </c>
      <c r="E28" s="58" t="s">
        <v>620</v>
      </c>
      <c r="F28" s="58" t="s">
        <v>607</v>
      </c>
    </row>
    <row r="29" spans="1:6" ht="26.1" customHeight="1">
      <c r="A29" s="58" t="s">
        <v>1408</v>
      </c>
      <c r="B29" s="61" t="s">
        <v>619</v>
      </c>
      <c r="C29" s="58" t="s">
        <v>650</v>
      </c>
      <c r="D29" s="59" t="s">
        <v>605</v>
      </c>
      <c r="E29" s="58" t="s">
        <v>651</v>
      </c>
      <c r="F29" s="58" t="s">
        <v>607</v>
      </c>
    </row>
    <row r="30" spans="1:6" ht="26.1" customHeight="1">
      <c r="A30" s="58" t="s">
        <v>1409</v>
      </c>
      <c r="B30" s="61" t="s">
        <v>619</v>
      </c>
      <c r="C30" s="58" t="s">
        <v>650</v>
      </c>
      <c r="D30" s="59" t="s">
        <v>605</v>
      </c>
      <c r="E30" s="58" t="s">
        <v>651</v>
      </c>
      <c r="F30" s="58" t="s">
        <v>607</v>
      </c>
    </row>
    <row r="31" spans="1:6" ht="26.1" customHeight="1">
      <c r="A31" s="58" t="s">
        <v>1410</v>
      </c>
      <c r="B31" s="61" t="s">
        <v>619</v>
      </c>
      <c r="C31" s="58" t="s">
        <v>650</v>
      </c>
      <c r="D31" s="59" t="s">
        <v>605</v>
      </c>
      <c r="E31" s="58" t="s">
        <v>651</v>
      </c>
      <c r="F31" s="58" t="s">
        <v>607</v>
      </c>
    </row>
    <row r="32" spans="1:6" ht="26.1" customHeight="1">
      <c r="A32" s="58" t="s">
        <v>1411</v>
      </c>
      <c r="B32" s="60" t="s">
        <v>603</v>
      </c>
      <c r="C32" s="58" t="s">
        <v>1412</v>
      </c>
      <c r="D32" s="59" t="s">
        <v>605</v>
      </c>
      <c r="E32" s="58" t="s">
        <v>606</v>
      </c>
      <c r="F32" s="58" t="s">
        <v>607</v>
      </c>
    </row>
    <row r="33" spans="1:6" ht="26.1" customHeight="1">
      <c r="A33" s="58" t="s">
        <v>1413</v>
      </c>
      <c r="B33" s="60" t="s">
        <v>603</v>
      </c>
      <c r="C33" s="58" t="s">
        <v>1414</v>
      </c>
      <c r="D33" s="59" t="s">
        <v>605</v>
      </c>
      <c r="E33" s="58" t="s">
        <v>606</v>
      </c>
      <c r="F33" s="58" t="s">
        <v>691</v>
      </c>
    </row>
    <row r="34" spans="1:6" ht="26.1" customHeight="1">
      <c r="A34" s="58" t="s">
        <v>1415</v>
      </c>
      <c r="B34" s="60" t="s">
        <v>603</v>
      </c>
      <c r="C34" s="58" t="s">
        <v>1416</v>
      </c>
      <c r="D34" s="59" t="s">
        <v>605</v>
      </c>
      <c r="E34" s="58" t="s">
        <v>1417</v>
      </c>
      <c r="F34" s="58" t="s">
        <v>637</v>
      </c>
    </row>
    <row r="35" spans="1:6" ht="26.1" customHeight="1">
      <c r="A35" s="58" t="s">
        <v>1418</v>
      </c>
      <c r="B35" s="60" t="s">
        <v>603</v>
      </c>
      <c r="C35" s="58" t="s">
        <v>727</v>
      </c>
      <c r="D35" s="59" t="s">
        <v>605</v>
      </c>
      <c r="E35" s="58" t="s">
        <v>610</v>
      </c>
      <c r="F35" s="58" t="s">
        <v>607</v>
      </c>
    </row>
    <row r="36" spans="1:6" ht="26.1" customHeight="1">
      <c r="A36" s="58" t="s">
        <v>1419</v>
      </c>
      <c r="B36" s="61" t="s">
        <v>619</v>
      </c>
      <c r="C36" s="58" t="s">
        <v>650</v>
      </c>
      <c r="D36" s="59" t="s">
        <v>605</v>
      </c>
      <c r="E36" s="58" t="s">
        <v>651</v>
      </c>
      <c r="F36" s="58" t="s">
        <v>607</v>
      </c>
    </row>
    <row r="37" spans="1:6" ht="26.1" customHeight="1">
      <c r="A37" s="58" t="s">
        <v>1420</v>
      </c>
      <c r="B37" s="61" t="s">
        <v>619</v>
      </c>
      <c r="C37" s="64" t="s">
        <v>888</v>
      </c>
      <c r="D37" s="65" t="s">
        <v>605</v>
      </c>
      <c r="E37" s="58" t="s">
        <v>620</v>
      </c>
      <c r="F37" s="58" t="s">
        <v>607</v>
      </c>
    </row>
    <row r="38" spans="1:6" ht="26.1" customHeight="1">
      <c r="A38" s="58" t="s">
        <v>1421</v>
      </c>
      <c r="B38" s="61" t="s">
        <v>619</v>
      </c>
      <c r="C38" s="64" t="s">
        <v>888</v>
      </c>
      <c r="D38" s="65" t="s">
        <v>605</v>
      </c>
      <c r="E38" s="58" t="s">
        <v>620</v>
      </c>
      <c r="F38" s="58" t="s">
        <v>607</v>
      </c>
    </row>
    <row r="39" spans="1:6" ht="26.1" customHeight="1">
      <c r="A39" s="58" t="s">
        <v>1422</v>
      </c>
      <c r="B39" s="60" t="s">
        <v>603</v>
      </c>
      <c r="C39" s="64" t="s">
        <v>1423</v>
      </c>
      <c r="D39" s="65" t="s">
        <v>605</v>
      </c>
      <c r="E39" s="58" t="s">
        <v>683</v>
      </c>
      <c r="F39" s="58" t="s">
        <v>607</v>
      </c>
    </row>
    <row r="40" spans="1:6" ht="26.1" customHeight="1">
      <c r="A40" s="58" t="s">
        <v>1424</v>
      </c>
      <c r="B40" s="60" t="s">
        <v>603</v>
      </c>
      <c r="C40" s="64" t="s">
        <v>1425</v>
      </c>
      <c r="D40" s="65" t="s">
        <v>605</v>
      </c>
      <c r="E40" s="58" t="s">
        <v>610</v>
      </c>
      <c r="F40" s="58" t="s">
        <v>747</v>
      </c>
    </row>
    <row r="41" spans="1:6" ht="26.1" customHeight="1">
      <c r="A41" s="58" t="s">
        <v>1426</v>
      </c>
      <c r="B41" s="61" t="s">
        <v>619</v>
      </c>
      <c r="C41" s="64" t="s">
        <v>1427</v>
      </c>
      <c r="D41" s="65" t="s">
        <v>605</v>
      </c>
      <c r="E41" s="58" t="s">
        <v>1428</v>
      </c>
      <c r="F41" s="58" t="s">
        <v>1429</v>
      </c>
    </row>
    <row r="42" spans="1:6" ht="26.1" customHeight="1">
      <c r="A42" s="58" t="s">
        <v>109</v>
      </c>
      <c r="B42" s="60" t="s">
        <v>603</v>
      </c>
      <c r="C42" s="64" t="s">
        <v>1430</v>
      </c>
      <c r="D42" s="65" t="s">
        <v>605</v>
      </c>
      <c r="E42" s="58" t="s">
        <v>610</v>
      </c>
      <c r="F42" s="58" t="s">
        <v>1431</v>
      </c>
    </row>
    <row r="43" spans="1:6" ht="26.1" customHeight="1">
      <c r="A43" s="58" t="s">
        <v>1432</v>
      </c>
      <c r="B43" s="60" t="s">
        <v>603</v>
      </c>
      <c r="C43" s="64" t="s">
        <v>1433</v>
      </c>
      <c r="D43" s="65" t="s">
        <v>605</v>
      </c>
      <c r="E43" s="58" t="s">
        <v>683</v>
      </c>
      <c r="F43" s="58" t="s">
        <v>1434</v>
      </c>
    </row>
    <row r="44" spans="1:6" ht="26.1" customHeight="1">
      <c r="A44" s="58" t="s">
        <v>1435</v>
      </c>
      <c r="B44" s="61" t="s">
        <v>619</v>
      </c>
      <c r="C44" s="64" t="s">
        <v>650</v>
      </c>
      <c r="D44" s="65" t="s">
        <v>605</v>
      </c>
      <c r="E44" s="58" t="s">
        <v>651</v>
      </c>
      <c r="F44" s="58" t="s">
        <v>607</v>
      </c>
    </row>
    <row r="45" spans="1:6" ht="26.1" customHeight="1">
      <c r="A45" s="58" t="s">
        <v>1436</v>
      </c>
      <c r="B45" s="60" t="s">
        <v>603</v>
      </c>
      <c r="C45" s="58" t="s">
        <v>1437</v>
      </c>
      <c r="D45" s="59" t="s">
        <v>605</v>
      </c>
      <c r="E45" s="58" t="s">
        <v>606</v>
      </c>
      <c r="F45" s="58" t="s">
        <v>747</v>
      </c>
    </row>
    <row r="46" spans="1:6" ht="26.1" customHeight="1">
      <c r="A46" s="58" t="s">
        <v>1438</v>
      </c>
      <c r="B46" s="60" t="s">
        <v>603</v>
      </c>
      <c r="C46" s="58" t="s">
        <v>632</v>
      </c>
      <c r="D46" s="59" t="s">
        <v>605</v>
      </c>
      <c r="E46" s="58" t="s">
        <v>606</v>
      </c>
      <c r="F46" s="58" t="s">
        <v>607</v>
      </c>
    </row>
    <row r="47" spans="1:6" ht="26.1" customHeight="1">
      <c r="A47" s="58" t="s">
        <v>1439</v>
      </c>
      <c r="B47" s="61" t="s">
        <v>619</v>
      </c>
      <c r="C47" s="58" t="s">
        <v>1440</v>
      </c>
      <c r="D47" s="59" t="s">
        <v>605</v>
      </c>
      <c r="E47" s="58" t="s">
        <v>620</v>
      </c>
      <c r="F47" s="58" t="s">
        <v>1021</v>
      </c>
    </row>
    <row r="48" spans="1:6" ht="26.1" customHeight="1">
      <c r="A48" s="58" t="s">
        <v>1441</v>
      </c>
      <c r="B48" s="61" t="s">
        <v>619</v>
      </c>
      <c r="C48" s="67" t="s">
        <v>1442</v>
      </c>
      <c r="D48" s="59" t="s">
        <v>605</v>
      </c>
      <c r="E48" s="58" t="s">
        <v>620</v>
      </c>
      <c r="F48" s="58" t="s">
        <v>870</v>
      </c>
    </row>
    <row r="49" spans="1:6" ht="26.1" customHeight="1">
      <c r="A49" s="58" t="s">
        <v>1443</v>
      </c>
      <c r="B49" s="60" t="s">
        <v>603</v>
      </c>
      <c r="C49" s="67" t="s">
        <v>1444</v>
      </c>
      <c r="D49" s="59" t="s">
        <v>605</v>
      </c>
      <c r="E49" s="58" t="s">
        <v>1445</v>
      </c>
      <c r="F49" s="58" t="s">
        <v>691</v>
      </c>
    </row>
    <row r="50" spans="1:6" ht="26.1" customHeight="1">
      <c r="A50" s="58" t="s">
        <v>1446</v>
      </c>
      <c r="B50" s="60" t="s">
        <v>603</v>
      </c>
      <c r="C50" s="58" t="s">
        <v>1447</v>
      </c>
      <c r="D50" s="59" t="s">
        <v>605</v>
      </c>
      <c r="E50" s="58" t="s">
        <v>1448</v>
      </c>
      <c r="F50" s="58" t="s">
        <v>637</v>
      </c>
    </row>
    <row r="51" spans="1:6" ht="26.1" customHeight="1">
      <c r="A51" s="58" t="s">
        <v>1449</v>
      </c>
      <c r="B51" s="61" t="s">
        <v>619</v>
      </c>
      <c r="C51" s="67" t="s">
        <v>650</v>
      </c>
      <c r="D51" s="59" t="s">
        <v>605</v>
      </c>
      <c r="E51" s="58" t="s">
        <v>651</v>
      </c>
      <c r="F51" s="58" t="s">
        <v>607</v>
      </c>
    </row>
    <row r="52" spans="1:6" ht="26.1" customHeight="1">
      <c r="A52" s="58" t="s">
        <v>1450</v>
      </c>
      <c r="B52" s="60" t="s">
        <v>603</v>
      </c>
      <c r="C52" s="58" t="s">
        <v>1451</v>
      </c>
      <c r="D52" s="59" t="s">
        <v>605</v>
      </c>
      <c r="E52" s="58" t="s">
        <v>610</v>
      </c>
      <c r="F52" s="58" t="s">
        <v>1287</v>
      </c>
    </row>
    <row r="53" spans="1:6" ht="26.1" customHeight="1">
      <c r="A53" s="58" t="s">
        <v>1452</v>
      </c>
      <c r="B53" s="60" t="s">
        <v>603</v>
      </c>
      <c r="C53" s="58" t="s">
        <v>1453</v>
      </c>
      <c r="D53" s="59" t="s">
        <v>605</v>
      </c>
      <c r="E53" s="58" t="s">
        <v>1454</v>
      </c>
      <c r="F53" s="58" t="s">
        <v>637</v>
      </c>
    </row>
    <row r="54" spans="1:6" ht="26.1" customHeight="1">
      <c r="A54" s="58" t="s">
        <v>1455</v>
      </c>
      <c r="B54" s="61" t="s">
        <v>619</v>
      </c>
      <c r="C54" s="58" t="s">
        <v>650</v>
      </c>
      <c r="D54" s="59" t="s">
        <v>605</v>
      </c>
      <c r="E54" s="58" t="s">
        <v>651</v>
      </c>
      <c r="F54" s="58" t="s">
        <v>607</v>
      </c>
    </row>
    <row r="56" spans="1:6" ht="15">
      <c r="C56" s="63" t="s">
        <v>633</v>
      </c>
      <c r="D56" s="63" t="str">
        <f>COUNTIF(D2:D54,"☑")&amp;" / "&amp;COUNTA(A2:A54)</f>
        <v>0 / 53</v>
      </c>
    </row>
  </sheetData>
  <conditionalFormatting sqref="B2:B35">
    <cfRule type="expression" dxfId="109" priority="1">
      <formula>B2="A"</formula>
    </cfRule>
    <cfRule type="expression" dxfId="108" priority="2">
      <formula>B2="B"</formula>
    </cfRule>
    <cfRule type="expression" dxfId="107" priority="3">
      <formula>B2="C"</formula>
    </cfRule>
  </conditionalFormatting>
  <conditionalFormatting sqref="D2:D54">
    <cfRule type="expression" dxfId="106" priority="4">
      <formula>D2="☑"</formula>
    </cfRule>
  </conditionalFormatting>
  <dataValidations count="1">
    <dataValidation type="list" sqref="D2:D54" xr:uid="{00000000-0002-0000-1000-000000000000}">
      <formula1>"☐,☑"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66"/>
  <sheetViews>
    <sheetView workbookViewId="0"/>
  </sheetViews>
  <sheetFormatPr defaultRowHeight="14.25"/>
  <cols>
    <col min="1" max="1" width="34" customWidth="1"/>
    <col min="2" max="2" width="10" customWidth="1"/>
    <col min="3" max="3" width="50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81" t="s">
        <v>598</v>
      </c>
      <c r="B1" s="81" t="s">
        <v>599</v>
      </c>
      <c r="C1" s="81" t="s">
        <v>13</v>
      </c>
      <c r="D1" s="81" t="s">
        <v>3</v>
      </c>
      <c r="E1" s="81" t="s">
        <v>600</v>
      </c>
      <c r="F1" s="81" t="s">
        <v>601</v>
      </c>
    </row>
    <row r="2" spans="1:6" ht="27.95" customHeight="1">
      <c r="A2" s="82" t="s">
        <v>1456</v>
      </c>
      <c r="B2" s="85" t="s">
        <v>619</v>
      </c>
      <c r="C2" s="82" t="s">
        <v>650</v>
      </c>
      <c r="D2" s="83" t="s">
        <v>605</v>
      </c>
      <c r="E2" s="82" t="s">
        <v>651</v>
      </c>
      <c r="F2" s="82" t="s">
        <v>607</v>
      </c>
    </row>
    <row r="3" spans="1:6" ht="27.95" customHeight="1">
      <c r="A3" s="82" t="s">
        <v>1457</v>
      </c>
      <c r="B3" s="84" t="s">
        <v>603</v>
      </c>
      <c r="C3" s="82" t="s">
        <v>1458</v>
      </c>
      <c r="D3" s="83" t="s">
        <v>605</v>
      </c>
      <c r="E3" s="82" t="s">
        <v>610</v>
      </c>
      <c r="F3" s="82" t="s">
        <v>607</v>
      </c>
    </row>
    <row r="4" spans="1:6" ht="27.95" customHeight="1">
      <c r="A4" s="82" t="s">
        <v>1459</v>
      </c>
      <c r="B4" s="85" t="s">
        <v>619</v>
      </c>
      <c r="C4" s="82" t="s">
        <v>650</v>
      </c>
      <c r="D4" s="83" t="s">
        <v>605</v>
      </c>
      <c r="E4" s="82" t="s">
        <v>651</v>
      </c>
      <c r="F4" s="82" t="s">
        <v>607</v>
      </c>
    </row>
    <row r="5" spans="1:6" ht="27.95" customHeight="1">
      <c r="A5" s="82" t="s">
        <v>1460</v>
      </c>
      <c r="B5" s="84" t="s">
        <v>603</v>
      </c>
      <c r="C5" s="82" t="s">
        <v>1461</v>
      </c>
      <c r="D5" s="83" t="s">
        <v>605</v>
      </c>
      <c r="E5" s="82" t="s">
        <v>610</v>
      </c>
      <c r="F5" s="82" t="s">
        <v>607</v>
      </c>
    </row>
    <row r="6" spans="1:6" ht="27.95" customHeight="1">
      <c r="A6" s="82" t="s">
        <v>1462</v>
      </c>
      <c r="B6" s="85" t="s">
        <v>619</v>
      </c>
      <c r="C6" s="82" t="s">
        <v>650</v>
      </c>
      <c r="D6" s="83" t="s">
        <v>605</v>
      </c>
      <c r="E6" s="82" t="s">
        <v>651</v>
      </c>
      <c r="F6" s="82" t="s">
        <v>607</v>
      </c>
    </row>
    <row r="7" spans="1:6" ht="27.95" customHeight="1">
      <c r="A7" s="82" t="s">
        <v>1463</v>
      </c>
      <c r="B7" s="85" t="s">
        <v>619</v>
      </c>
      <c r="C7" s="82" t="s">
        <v>1293</v>
      </c>
      <c r="D7" s="83" t="s">
        <v>605</v>
      </c>
      <c r="E7" s="82" t="s">
        <v>620</v>
      </c>
      <c r="F7" s="82" t="s">
        <v>691</v>
      </c>
    </row>
    <row r="8" spans="1:6" ht="27.95" customHeight="1">
      <c r="A8" s="82" t="s">
        <v>1464</v>
      </c>
      <c r="B8" s="85" t="s">
        <v>619</v>
      </c>
      <c r="C8" s="82" t="s">
        <v>888</v>
      </c>
      <c r="D8" s="83" t="s">
        <v>605</v>
      </c>
      <c r="E8" s="82" t="s">
        <v>620</v>
      </c>
      <c r="F8" s="82" t="s">
        <v>607</v>
      </c>
    </row>
    <row r="9" spans="1:6" ht="27.95" customHeight="1">
      <c r="A9" s="82" t="s">
        <v>1465</v>
      </c>
      <c r="B9" s="84" t="s">
        <v>603</v>
      </c>
      <c r="C9" s="82" t="s">
        <v>1466</v>
      </c>
      <c r="D9" s="83" t="s">
        <v>605</v>
      </c>
      <c r="E9" s="82" t="s">
        <v>610</v>
      </c>
      <c r="F9" s="82" t="s">
        <v>1467</v>
      </c>
    </row>
    <row r="10" spans="1:6" ht="27.95" customHeight="1">
      <c r="A10" s="82" t="s">
        <v>1468</v>
      </c>
      <c r="B10" s="85" t="s">
        <v>619</v>
      </c>
      <c r="C10" s="82" t="s">
        <v>650</v>
      </c>
      <c r="D10" s="83" t="s">
        <v>605</v>
      </c>
      <c r="E10" s="82" t="s">
        <v>651</v>
      </c>
      <c r="F10" s="82" t="s">
        <v>607</v>
      </c>
    </row>
    <row r="11" spans="1:6" ht="27.95" customHeight="1">
      <c r="A11" s="82" t="s">
        <v>1469</v>
      </c>
      <c r="B11" s="85" t="s">
        <v>619</v>
      </c>
      <c r="C11" s="82" t="s">
        <v>1470</v>
      </c>
      <c r="D11" s="83" t="s">
        <v>605</v>
      </c>
      <c r="E11" s="82" t="s">
        <v>1471</v>
      </c>
      <c r="F11" s="82" t="s">
        <v>607</v>
      </c>
    </row>
    <row r="12" spans="1:6" ht="27.95" customHeight="1">
      <c r="A12" s="82" t="s">
        <v>1472</v>
      </c>
      <c r="B12" s="84" t="s">
        <v>603</v>
      </c>
      <c r="C12" s="82" t="s">
        <v>1473</v>
      </c>
      <c r="D12" s="83" t="s">
        <v>605</v>
      </c>
      <c r="E12" s="82" t="s">
        <v>606</v>
      </c>
      <c r="F12" s="82" t="s">
        <v>691</v>
      </c>
    </row>
    <row r="13" spans="1:6" ht="27.95" customHeight="1">
      <c r="A13" s="82" t="s">
        <v>1474</v>
      </c>
      <c r="B13" s="85" t="s">
        <v>619</v>
      </c>
      <c r="C13" s="82" t="s">
        <v>650</v>
      </c>
      <c r="D13" s="83" t="s">
        <v>605</v>
      </c>
      <c r="E13" s="82" t="s">
        <v>651</v>
      </c>
      <c r="F13" s="82" t="s">
        <v>607</v>
      </c>
    </row>
    <row r="14" spans="1:6" ht="27.95" customHeight="1">
      <c r="A14" s="82" t="s">
        <v>1475</v>
      </c>
      <c r="B14" s="85" t="s">
        <v>619</v>
      </c>
      <c r="C14" s="82" t="s">
        <v>1476</v>
      </c>
      <c r="D14" s="83" t="s">
        <v>605</v>
      </c>
      <c r="E14" s="82" t="s">
        <v>620</v>
      </c>
      <c r="F14" s="82" t="s">
        <v>1477</v>
      </c>
    </row>
    <row r="15" spans="1:6" ht="27.95" customHeight="1">
      <c r="A15" s="82" t="s">
        <v>1478</v>
      </c>
      <c r="B15" s="85" t="s">
        <v>619</v>
      </c>
      <c r="C15" s="82" t="s">
        <v>888</v>
      </c>
      <c r="D15" s="83" t="s">
        <v>605</v>
      </c>
      <c r="E15" s="82" t="s">
        <v>620</v>
      </c>
      <c r="F15" s="82" t="s">
        <v>607</v>
      </c>
    </row>
    <row r="16" spans="1:6" ht="27.95" customHeight="1">
      <c r="A16" s="82" t="s">
        <v>1479</v>
      </c>
      <c r="B16" s="85" t="s">
        <v>619</v>
      </c>
      <c r="C16" s="82" t="s">
        <v>650</v>
      </c>
      <c r="D16" s="83" t="s">
        <v>605</v>
      </c>
      <c r="E16" s="82" t="s">
        <v>651</v>
      </c>
      <c r="F16" s="82" t="s">
        <v>607</v>
      </c>
    </row>
    <row r="17" spans="1:6" ht="27.95" customHeight="1">
      <c r="A17" s="82" t="s">
        <v>1480</v>
      </c>
      <c r="B17" s="85" t="s">
        <v>619</v>
      </c>
      <c r="C17" s="82" t="s">
        <v>888</v>
      </c>
      <c r="D17" s="83" t="s">
        <v>605</v>
      </c>
      <c r="E17" s="82" t="s">
        <v>620</v>
      </c>
      <c r="F17" s="82" t="s">
        <v>607</v>
      </c>
    </row>
    <row r="18" spans="1:6" ht="27.95" customHeight="1">
      <c r="A18" s="82" t="s">
        <v>1481</v>
      </c>
      <c r="B18" s="85" t="s">
        <v>619</v>
      </c>
      <c r="C18" s="82" t="s">
        <v>888</v>
      </c>
      <c r="D18" s="83" t="s">
        <v>605</v>
      </c>
      <c r="E18" s="82" t="s">
        <v>620</v>
      </c>
      <c r="F18" s="82" t="s">
        <v>607</v>
      </c>
    </row>
    <row r="19" spans="1:6" ht="27.95" customHeight="1">
      <c r="A19" s="82" t="s">
        <v>1482</v>
      </c>
      <c r="B19" s="84" t="s">
        <v>603</v>
      </c>
      <c r="C19" s="82" t="s">
        <v>1483</v>
      </c>
      <c r="D19" s="83" t="s">
        <v>605</v>
      </c>
      <c r="E19" s="82" t="s">
        <v>908</v>
      </c>
      <c r="F19" s="82" t="s">
        <v>607</v>
      </c>
    </row>
    <row r="20" spans="1:6" ht="27.95" customHeight="1">
      <c r="A20" s="82" t="s">
        <v>1484</v>
      </c>
      <c r="B20" s="84" t="s">
        <v>603</v>
      </c>
      <c r="C20" s="82" t="s">
        <v>1485</v>
      </c>
      <c r="D20" s="83" t="s">
        <v>605</v>
      </c>
      <c r="E20" s="82" t="s">
        <v>610</v>
      </c>
      <c r="F20" s="82" t="s">
        <v>1486</v>
      </c>
    </row>
    <row r="21" spans="1:6" ht="27.95" customHeight="1">
      <c r="A21" s="82" t="s">
        <v>1487</v>
      </c>
      <c r="B21" s="85" t="s">
        <v>619</v>
      </c>
      <c r="C21" s="82" t="s">
        <v>888</v>
      </c>
      <c r="D21" s="83" t="s">
        <v>605</v>
      </c>
      <c r="E21" s="82" t="s">
        <v>620</v>
      </c>
      <c r="F21" s="82" t="s">
        <v>607</v>
      </c>
    </row>
    <row r="22" spans="1:6" ht="27.95" customHeight="1">
      <c r="A22" s="82" t="s">
        <v>1488</v>
      </c>
      <c r="B22" s="85" t="s">
        <v>619</v>
      </c>
      <c r="C22" s="82" t="s">
        <v>1489</v>
      </c>
      <c r="D22" s="83" t="s">
        <v>605</v>
      </c>
      <c r="E22" s="82" t="s">
        <v>620</v>
      </c>
      <c r="F22" s="82" t="s">
        <v>1021</v>
      </c>
    </row>
    <row r="23" spans="1:6" ht="27.95" customHeight="1">
      <c r="A23" s="82" t="s">
        <v>1490</v>
      </c>
      <c r="B23" s="85" t="s">
        <v>619</v>
      </c>
      <c r="C23" s="82" t="s">
        <v>330</v>
      </c>
      <c r="D23" s="83" t="s">
        <v>605</v>
      </c>
      <c r="E23" s="82" t="s">
        <v>620</v>
      </c>
      <c r="F23" s="82" t="s">
        <v>607</v>
      </c>
    </row>
    <row r="24" spans="1:6" ht="27.95" customHeight="1">
      <c r="A24" s="82" t="s">
        <v>1491</v>
      </c>
      <c r="B24" s="85" t="s">
        <v>619</v>
      </c>
      <c r="C24" s="82" t="s">
        <v>650</v>
      </c>
      <c r="D24" s="83" t="s">
        <v>605</v>
      </c>
      <c r="E24" s="82" t="s">
        <v>651</v>
      </c>
      <c r="F24" s="82" t="s">
        <v>607</v>
      </c>
    </row>
    <row r="25" spans="1:6" ht="27.95" customHeight="1">
      <c r="A25" s="82" t="s">
        <v>1492</v>
      </c>
      <c r="B25" s="84" t="s">
        <v>603</v>
      </c>
      <c r="C25" s="82" t="s">
        <v>650</v>
      </c>
      <c r="D25" s="83" t="s">
        <v>605</v>
      </c>
      <c r="E25" s="82" t="s">
        <v>688</v>
      </c>
      <c r="F25" s="82" t="s">
        <v>607</v>
      </c>
    </row>
    <row r="26" spans="1:6" ht="27.95" customHeight="1">
      <c r="A26" s="82" t="s">
        <v>1493</v>
      </c>
      <c r="B26" s="85" t="s">
        <v>619</v>
      </c>
      <c r="C26" s="82" t="s">
        <v>1494</v>
      </c>
      <c r="D26" s="83" t="s">
        <v>605</v>
      </c>
      <c r="E26" s="82" t="s">
        <v>620</v>
      </c>
      <c r="F26" s="82" t="s">
        <v>607</v>
      </c>
    </row>
    <row r="27" spans="1:6" ht="27.95" customHeight="1">
      <c r="A27" s="82" t="s">
        <v>1495</v>
      </c>
      <c r="B27" s="85" t="s">
        <v>619</v>
      </c>
      <c r="C27" s="82" t="s">
        <v>650</v>
      </c>
      <c r="D27" s="83" t="s">
        <v>605</v>
      </c>
      <c r="E27" s="82" t="s">
        <v>651</v>
      </c>
      <c r="F27" s="82" t="s">
        <v>607</v>
      </c>
    </row>
    <row r="28" spans="1:6" ht="27.95" customHeight="1">
      <c r="A28" s="82" t="s">
        <v>1496</v>
      </c>
      <c r="B28" s="86" t="s">
        <v>615</v>
      </c>
      <c r="C28" s="82" t="s">
        <v>1497</v>
      </c>
      <c r="D28" s="83" t="s">
        <v>605</v>
      </c>
      <c r="E28" s="82" t="s">
        <v>915</v>
      </c>
      <c r="F28" s="82" t="s">
        <v>637</v>
      </c>
    </row>
    <row r="29" spans="1:6" ht="27.95" customHeight="1">
      <c r="A29" s="82" t="s">
        <v>1498</v>
      </c>
      <c r="B29" s="84" t="s">
        <v>603</v>
      </c>
      <c r="C29" s="82" t="s">
        <v>1499</v>
      </c>
      <c r="D29" s="83" t="s">
        <v>605</v>
      </c>
      <c r="E29" s="82" t="s">
        <v>636</v>
      </c>
      <c r="F29" s="82" t="s">
        <v>637</v>
      </c>
    </row>
    <row r="30" spans="1:6" ht="27.95" customHeight="1">
      <c r="A30" s="82" t="s">
        <v>1500</v>
      </c>
      <c r="B30" s="85" t="s">
        <v>619</v>
      </c>
      <c r="C30" s="82" t="s">
        <v>650</v>
      </c>
      <c r="D30" s="83" t="s">
        <v>605</v>
      </c>
      <c r="E30" s="82" t="s">
        <v>651</v>
      </c>
      <c r="F30" s="82" t="s">
        <v>607</v>
      </c>
    </row>
    <row r="31" spans="1:6" ht="27.95" customHeight="1">
      <c r="A31" s="82" t="s">
        <v>1501</v>
      </c>
      <c r="B31" s="85" t="s">
        <v>619</v>
      </c>
      <c r="C31" s="82" t="s">
        <v>650</v>
      </c>
      <c r="D31" s="83" t="s">
        <v>605</v>
      </c>
      <c r="E31" s="82" t="s">
        <v>651</v>
      </c>
      <c r="F31" s="82" t="s">
        <v>607</v>
      </c>
    </row>
    <row r="32" spans="1:6" ht="27.95" customHeight="1">
      <c r="A32" s="82" t="s">
        <v>1502</v>
      </c>
      <c r="B32" s="84" t="s">
        <v>603</v>
      </c>
      <c r="C32" s="82" t="s">
        <v>1503</v>
      </c>
      <c r="D32" s="83" t="s">
        <v>605</v>
      </c>
      <c r="E32" s="82" t="s">
        <v>610</v>
      </c>
      <c r="F32" s="82" t="s">
        <v>1287</v>
      </c>
    </row>
    <row r="33" spans="1:6" ht="27.95" customHeight="1">
      <c r="A33" s="82" t="s">
        <v>1504</v>
      </c>
      <c r="B33" s="86" t="s">
        <v>615</v>
      </c>
      <c r="C33" s="82" t="s">
        <v>1505</v>
      </c>
      <c r="D33" s="83" t="s">
        <v>605</v>
      </c>
      <c r="E33" s="82" t="s">
        <v>1506</v>
      </c>
      <c r="F33" s="82" t="s">
        <v>1507</v>
      </c>
    </row>
    <row r="34" spans="1:6" ht="27.95" customHeight="1">
      <c r="A34" s="82" t="s">
        <v>1508</v>
      </c>
      <c r="B34" s="84" t="s">
        <v>603</v>
      </c>
      <c r="C34" s="82" t="s">
        <v>1509</v>
      </c>
      <c r="D34" s="83" t="s">
        <v>605</v>
      </c>
      <c r="E34" s="82" t="s">
        <v>610</v>
      </c>
      <c r="F34" s="82" t="s">
        <v>1431</v>
      </c>
    </row>
    <row r="35" spans="1:6" ht="27.95" customHeight="1">
      <c r="A35" s="82" t="s">
        <v>1510</v>
      </c>
      <c r="B35" s="84" t="s">
        <v>603</v>
      </c>
      <c r="C35" s="82" t="s">
        <v>727</v>
      </c>
      <c r="D35" s="83" t="s">
        <v>605</v>
      </c>
      <c r="E35" s="82" t="s">
        <v>610</v>
      </c>
      <c r="F35" s="82" t="s">
        <v>607</v>
      </c>
    </row>
    <row r="36" spans="1:6" ht="27.95" customHeight="1">
      <c r="A36" s="82" t="s">
        <v>1511</v>
      </c>
      <c r="B36" s="84" t="s">
        <v>603</v>
      </c>
      <c r="C36" s="82" t="s">
        <v>1512</v>
      </c>
      <c r="D36" s="83" t="s">
        <v>605</v>
      </c>
      <c r="E36" s="82" t="s">
        <v>1513</v>
      </c>
      <c r="F36" s="82" t="s">
        <v>1514</v>
      </c>
    </row>
    <row r="37" spans="1:6" ht="27.95" customHeight="1">
      <c r="A37" s="82" t="s">
        <v>1515</v>
      </c>
      <c r="B37" s="85" t="s">
        <v>619</v>
      </c>
      <c r="C37" s="82" t="s">
        <v>1516</v>
      </c>
      <c r="D37" s="83" t="s">
        <v>605</v>
      </c>
      <c r="E37" s="82" t="s">
        <v>620</v>
      </c>
      <c r="F37" s="82" t="s">
        <v>691</v>
      </c>
    </row>
    <row r="38" spans="1:6" ht="27.95" customHeight="1">
      <c r="A38" s="82" t="s">
        <v>1517</v>
      </c>
      <c r="B38" s="85" t="s">
        <v>619</v>
      </c>
      <c r="C38" s="82" t="s">
        <v>650</v>
      </c>
      <c r="D38" s="83" t="s">
        <v>605</v>
      </c>
      <c r="E38" s="82" t="s">
        <v>651</v>
      </c>
      <c r="F38" s="82" t="s">
        <v>607</v>
      </c>
    </row>
    <row r="39" spans="1:6" ht="27.95" customHeight="1">
      <c r="A39" s="82" t="s">
        <v>1518</v>
      </c>
      <c r="B39" s="84" t="s">
        <v>603</v>
      </c>
      <c r="C39" s="82" t="s">
        <v>1224</v>
      </c>
      <c r="D39" s="83" t="s">
        <v>605</v>
      </c>
      <c r="E39" s="82" t="s">
        <v>610</v>
      </c>
      <c r="F39" s="82" t="s">
        <v>1287</v>
      </c>
    </row>
    <row r="40" spans="1:6" ht="27.95" customHeight="1">
      <c r="A40" s="82" t="s">
        <v>1519</v>
      </c>
      <c r="B40" s="85" t="s">
        <v>619</v>
      </c>
      <c r="C40" s="82" t="s">
        <v>650</v>
      </c>
      <c r="D40" s="83" t="s">
        <v>605</v>
      </c>
      <c r="E40" s="82" t="s">
        <v>651</v>
      </c>
      <c r="F40" s="82" t="s">
        <v>607</v>
      </c>
    </row>
    <row r="41" spans="1:6" ht="27.95" customHeight="1">
      <c r="A41" s="82" t="s">
        <v>1520</v>
      </c>
      <c r="B41" s="84" t="s">
        <v>603</v>
      </c>
      <c r="C41" s="82" t="s">
        <v>1521</v>
      </c>
      <c r="D41" s="83" t="s">
        <v>605</v>
      </c>
      <c r="E41" s="82" t="s">
        <v>1522</v>
      </c>
      <c r="F41" s="82" t="s">
        <v>637</v>
      </c>
    </row>
    <row r="42" spans="1:6" ht="27.95" customHeight="1">
      <c r="A42" s="82" t="s">
        <v>1523</v>
      </c>
      <c r="B42" s="85" t="s">
        <v>619</v>
      </c>
      <c r="C42" s="82" t="s">
        <v>650</v>
      </c>
      <c r="D42" s="83" t="s">
        <v>605</v>
      </c>
      <c r="E42" s="82" t="s">
        <v>651</v>
      </c>
      <c r="F42" s="82" t="s">
        <v>607</v>
      </c>
    </row>
    <row r="43" spans="1:6" ht="27.95" customHeight="1">
      <c r="A43" s="82" t="s">
        <v>1524</v>
      </c>
      <c r="B43" s="85" t="s">
        <v>619</v>
      </c>
      <c r="C43" s="82" t="s">
        <v>650</v>
      </c>
      <c r="D43" s="83" t="s">
        <v>605</v>
      </c>
      <c r="E43" s="82" t="s">
        <v>651</v>
      </c>
      <c r="F43" s="82" t="s">
        <v>607</v>
      </c>
    </row>
    <row r="44" spans="1:6" ht="27.95" customHeight="1">
      <c r="A44" s="82" t="s">
        <v>1525</v>
      </c>
      <c r="B44" s="84" t="s">
        <v>603</v>
      </c>
      <c r="C44" s="82" t="s">
        <v>1526</v>
      </c>
      <c r="D44" s="83" t="s">
        <v>605</v>
      </c>
      <c r="E44" s="82" t="s">
        <v>606</v>
      </c>
      <c r="F44" s="82" t="s">
        <v>747</v>
      </c>
    </row>
    <row r="45" spans="1:6" ht="27.95" customHeight="1">
      <c r="A45" s="82" t="s">
        <v>1527</v>
      </c>
      <c r="B45" s="85" t="s">
        <v>619</v>
      </c>
      <c r="C45" s="90" t="s">
        <v>1528</v>
      </c>
      <c r="D45" s="91" t="s">
        <v>605</v>
      </c>
      <c r="E45" s="82" t="s">
        <v>620</v>
      </c>
      <c r="F45" s="82" t="s">
        <v>691</v>
      </c>
    </row>
    <row r="46" spans="1:6" ht="27.95" customHeight="1">
      <c r="A46" s="82" t="s">
        <v>1529</v>
      </c>
      <c r="B46" s="84" t="s">
        <v>603</v>
      </c>
      <c r="C46" s="90" t="s">
        <v>1494</v>
      </c>
      <c r="D46" s="91" t="s">
        <v>605</v>
      </c>
      <c r="E46" s="82" t="s">
        <v>1146</v>
      </c>
      <c r="F46" s="82" t="s">
        <v>607</v>
      </c>
    </row>
    <row r="47" spans="1:6" ht="27.95" customHeight="1">
      <c r="A47" s="82" t="s">
        <v>1530</v>
      </c>
      <c r="B47" s="85" t="s">
        <v>619</v>
      </c>
      <c r="C47" s="90" t="s">
        <v>650</v>
      </c>
      <c r="D47" s="91" t="s">
        <v>605</v>
      </c>
      <c r="E47" s="82" t="s">
        <v>651</v>
      </c>
      <c r="F47" s="82" t="s">
        <v>607</v>
      </c>
    </row>
    <row r="48" spans="1:6" ht="27.95" customHeight="1">
      <c r="A48" s="82" t="s">
        <v>1531</v>
      </c>
      <c r="B48" s="84" t="s">
        <v>603</v>
      </c>
      <c r="C48" s="90" t="s">
        <v>1532</v>
      </c>
      <c r="D48" s="91" t="s">
        <v>605</v>
      </c>
      <c r="E48" s="82" t="s">
        <v>610</v>
      </c>
      <c r="F48" s="82" t="s">
        <v>1287</v>
      </c>
    </row>
    <row r="49" spans="1:6" ht="27.95" customHeight="1">
      <c r="A49" s="82" t="s">
        <v>1533</v>
      </c>
      <c r="B49" s="84" t="s">
        <v>603</v>
      </c>
      <c r="C49" s="90" t="s">
        <v>1534</v>
      </c>
      <c r="D49" s="91" t="s">
        <v>605</v>
      </c>
      <c r="E49" s="82" t="s">
        <v>606</v>
      </c>
      <c r="F49" s="82" t="s">
        <v>691</v>
      </c>
    </row>
    <row r="50" spans="1:6" ht="27.95" customHeight="1">
      <c r="A50" s="82" t="s">
        <v>1535</v>
      </c>
      <c r="B50" s="85" t="s">
        <v>619</v>
      </c>
      <c r="C50" s="90" t="s">
        <v>888</v>
      </c>
      <c r="D50" s="91" t="s">
        <v>605</v>
      </c>
      <c r="E50" s="82" t="s">
        <v>620</v>
      </c>
      <c r="F50" s="82" t="s">
        <v>607</v>
      </c>
    </row>
    <row r="51" spans="1:6" ht="27.95" customHeight="1">
      <c r="A51" s="82" t="s">
        <v>1536</v>
      </c>
      <c r="B51" s="85" t="s">
        <v>619</v>
      </c>
      <c r="C51" s="82" t="s">
        <v>1494</v>
      </c>
      <c r="D51" s="83" t="s">
        <v>605</v>
      </c>
      <c r="E51" s="82" t="s">
        <v>620</v>
      </c>
      <c r="F51" s="82" t="s">
        <v>607</v>
      </c>
    </row>
    <row r="52" spans="1:6" ht="27.95" customHeight="1">
      <c r="A52" s="82" t="s">
        <v>1537</v>
      </c>
      <c r="B52" s="85" t="s">
        <v>619</v>
      </c>
      <c r="C52" s="82" t="s">
        <v>650</v>
      </c>
      <c r="D52" s="83" t="s">
        <v>605</v>
      </c>
      <c r="E52" s="82" t="s">
        <v>651</v>
      </c>
      <c r="F52" s="82" t="s">
        <v>607</v>
      </c>
    </row>
    <row r="53" spans="1:6" ht="27.95" customHeight="1">
      <c r="A53" s="82" t="s">
        <v>1538</v>
      </c>
      <c r="B53" s="85" t="s">
        <v>619</v>
      </c>
      <c r="C53" s="93" t="s">
        <v>650</v>
      </c>
      <c r="D53" s="83" t="s">
        <v>605</v>
      </c>
      <c r="E53" s="82" t="s">
        <v>651</v>
      </c>
      <c r="F53" s="82" t="s">
        <v>607</v>
      </c>
    </row>
    <row r="54" spans="1:6" ht="27.95" customHeight="1">
      <c r="A54" s="82" t="s">
        <v>1539</v>
      </c>
      <c r="B54" s="84" t="s">
        <v>603</v>
      </c>
      <c r="C54" s="82" t="s">
        <v>1540</v>
      </c>
      <c r="D54" s="83" t="s">
        <v>605</v>
      </c>
      <c r="E54" s="82" t="s">
        <v>636</v>
      </c>
      <c r="F54" s="82" t="s">
        <v>637</v>
      </c>
    </row>
    <row r="55" spans="1:6" ht="27.95" customHeight="1">
      <c r="A55" s="82" t="s">
        <v>1541</v>
      </c>
      <c r="B55" s="85" t="s">
        <v>619</v>
      </c>
      <c r="C55" s="82" t="s">
        <v>650</v>
      </c>
      <c r="D55" s="83" t="s">
        <v>605</v>
      </c>
      <c r="E55" s="82" t="s">
        <v>651</v>
      </c>
      <c r="F55" s="82" t="s">
        <v>607</v>
      </c>
    </row>
    <row r="56" spans="1:6" ht="27.95" customHeight="1">
      <c r="A56" s="82" t="s">
        <v>1542</v>
      </c>
      <c r="B56" s="84" t="s">
        <v>603</v>
      </c>
      <c r="C56" s="93" t="s">
        <v>653</v>
      </c>
      <c r="D56" s="83" t="s">
        <v>605</v>
      </c>
      <c r="E56" s="82" t="s">
        <v>610</v>
      </c>
      <c r="F56" s="82" t="s">
        <v>607</v>
      </c>
    </row>
    <row r="57" spans="1:6" ht="27.95" customHeight="1">
      <c r="A57" s="82" t="s">
        <v>1543</v>
      </c>
      <c r="B57" s="84" t="s">
        <v>603</v>
      </c>
      <c r="C57" s="82" t="s">
        <v>1544</v>
      </c>
      <c r="D57" s="83" t="s">
        <v>605</v>
      </c>
      <c r="E57" s="82" t="s">
        <v>610</v>
      </c>
      <c r="F57" s="82" t="s">
        <v>607</v>
      </c>
    </row>
    <row r="58" spans="1:6" ht="27.95" customHeight="1">
      <c r="A58" s="82" t="s">
        <v>1545</v>
      </c>
      <c r="B58" s="84" t="s">
        <v>603</v>
      </c>
      <c r="C58" s="82" t="s">
        <v>722</v>
      </c>
      <c r="D58" s="83" t="s">
        <v>605</v>
      </c>
      <c r="E58" s="82" t="s">
        <v>610</v>
      </c>
      <c r="F58" s="82" t="s">
        <v>607</v>
      </c>
    </row>
    <row r="59" spans="1:6" ht="27.95" customHeight="1">
      <c r="A59" s="82" t="s">
        <v>1546</v>
      </c>
      <c r="B59" s="85" t="s">
        <v>619</v>
      </c>
      <c r="C59" s="82" t="s">
        <v>650</v>
      </c>
      <c r="D59" s="83" t="s">
        <v>605</v>
      </c>
      <c r="E59" s="82" t="s">
        <v>651</v>
      </c>
      <c r="F59" s="82" t="s">
        <v>607</v>
      </c>
    </row>
    <row r="60" spans="1:6" ht="27.95" customHeight="1">
      <c r="A60" s="82" t="s">
        <v>1547</v>
      </c>
      <c r="B60" s="85" t="s">
        <v>619</v>
      </c>
      <c r="C60" s="93" t="s">
        <v>650</v>
      </c>
      <c r="D60" s="83" t="s">
        <v>605</v>
      </c>
      <c r="E60" s="82" t="s">
        <v>651</v>
      </c>
      <c r="F60" s="82" t="s">
        <v>607</v>
      </c>
    </row>
    <row r="61" spans="1:6" ht="27.95" customHeight="1">
      <c r="A61" s="82" t="s">
        <v>1548</v>
      </c>
      <c r="B61" s="84" t="s">
        <v>603</v>
      </c>
      <c r="C61" s="93" t="s">
        <v>1549</v>
      </c>
      <c r="D61" s="83" t="s">
        <v>605</v>
      </c>
      <c r="E61" s="82" t="s">
        <v>1550</v>
      </c>
      <c r="F61" s="82" t="s">
        <v>1551</v>
      </c>
    </row>
    <row r="62" spans="1:6" ht="27.95" customHeight="1">
      <c r="A62" s="82" t="s">
        <v>1552</v>
      </c>
      <c r="B62" s="84" t="s">
        <v>603</v>
      </c>
      <c r="C62" s="82" t="s">
        <v>1116</v>
      </c>
      <c r="D62" s="83" t="s">
        <v>605</v>
      </c>
      <c r="E62" s="82" t="s">
        <v>1553</v>
      </c>
      <c r="F62" s="82" t="s">
        <v>607</v>
      </c>
    </row>
    <row r="63" spans="1:6" ht="27.95" customHeight="1">
      <c r="A63" s="82" t="s">
        <v>1554</v>
      </c>
      <c r="B63" s="85" t="s">
        <v>619</v>
      </c>
      <c r="C63" s="82" t="s">
        <v>650</v>
      </c>
      <c r="D63" s="83" t="s">
        <v>605</v>
      </c>
      <c r="E63" s="82" t="s">
        <v>651</v>
      </c>
      <c r="F63" s="82" t="s">
        <v>607</v>
      </c>
    </row>
    <row r="64" spans="1:6" ht="27.95" customHeight="1">
      <c r="A64" s="82" t="s">
        <v>1555</v>
      </c>
      <c r="B64" s="85" t="s">
        <v>619</v>
      </c>
      <c r="C64" s="82" t="s">
        <v>650</v>
      </c>
      <c r="D64" s="83" t="s">
        <v>605</v>
      </c>
      <c r="E64" s="82" t="s">
        <v>651</v>
      </c>
      <c r="F64" s="82" t="s">
        <v>607</v>
      </c>
    </row>
    <row r="65" spans="3:4" ht="15">
      <c r="C65" s="63"/>
      <c r="D65" s="63"/>
    </row>
    <row r="66" spans="3:4" ht="15">
      <c r="C66" s="88" t="s">
        <v>633</v>
      </c>
      <c r="D66" s="89" t="str">
        <f>COUNTIF(D2:D64,"☑")&amp;" / "&amp;COUNTA(A2:A64)</f>
        <v>0 / 63</v>
      </c>
    </row>
  </sheetData>
  <conditionalFormatting sqref="B2:B43">
    <cfRule type="expression" dxfId="105" priority="1">
      <formula>B2="A"</formula>
    </cfRule>
    <cfRule type="expression" dxfId="104" priority="2">
      <formula>B2="B"</formula>
    </cfRule>
    <cfRule type="expression" dxfId="103" priority="3">
      <formula>B2="C"</formula>
    </cfRule>
  </conditionalFormatting>
  <conditionalFormatting sqref="D2:D63">
    <cfRule type="expression" dxfId="102" priority="4">
      <formula>D2="☑"</formula>
    </cfRule>
  </conditionalFormatting>
  <conditionalFormatting sqref="D2:D64">
    <cfRule type="expression" dxfId="101" priority="18">
      <formula>D2="☑"</formula>
    </cfRule>
  </conditionalFormatting>
  <dataValidations count="1">
    <dataValidation type="list" sqref="D2:D64" xr:uid="{00000000-0002-0000-1100-000000000000}">
      <formula1>"☐,☑"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8"/>
  <sheetViews>
    <sheetView workbookViewId="0"/>
  </sheetViews>
  <sheetFormatPr defaultRowHeight="14.25"/>
  <cols>
    <col min="1" max="1" width="34" customWidth="1"/>
    <col min="2" max="2" width="10" customWidth="1"/>
    <col min="3" max="3" width="50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81" t="s">
        <v>598</v>
      </c>
      <c r="B1" s="81" t="s">
        <v>599</v>
      </c>
      <c r="C1" s="81" t="s">
        <v>13</v>
      </c>
      <c r="D1" s="81" t="s">
        <v>3</v>
      </c>
      <c r="E1" s="81" t="s">
        <v>600</v>
      </c>
      <c r="F1" s="81" t="s">
        <v>601</v>
      </c>
    </row>
    <row r="2" spans="1:6" ht="27.95" customHeight="1">
      <c r="A2" s="82" t="s">
        <v>1556</v>
      </c>
      <c r="B2" s="85" t="s">
        <v>619</v>
      </c>
      <c r="C2" s="82" t="s">
        <v>1557</v>
      </c>
      <c r="D2" s="83" t="s">
        <v>605</v>
      </c>
      <c r="E2" s="82" t="s">
        <v>1558</v>
      </c>
      <c r="F2" s="82" t="s">
        <v>607</v>
      </c>
    </row>
    <row r="3" spans="1:6" ht="27.95" customHeight="1">
      <c r="A3" s="82" t="s">
        <v>1559</v>
      </c>
      <c r="B3" s="85" t="s">
        <v>619</v>
      </c>
      <c r="C3" s="82" t="s">
        <v>650</v>
      </c>
      <c r="D3" s="83" t="s">
        <v>605</v>
      </c>
      <c r="E3" s="82" t="s">
        <v>651</v>
      </c>
      <c r="F3" s="82" t="s">
        <v>607</v>
      </c>
    </row>
    <row r="4" spans="1:6" ht="27.95" customHeight="1">
      <c r="A4" s="82" t="s">
        <v>1560</v>
      </c>
      <c r="B4" s="85" t="s">
        <v>619</v>
      </c>
      <c r="C4" s="82" t="s">
        <v>650</v>
      </c>
      <c r="D4" s="83" t="s">
        <v>605</v>
      </c>
      <c r="E4" s="82" t="s">
        <v>651</v>
      </c>
      <c r="F4" s="82" t="s">
        <v>607</v>
      </c>
    </row>
    <row r="5" spans="1:6" ht="27.95" customHeight="1">
      <c r="A5" s="82" t="s">
        <v>1561</v>
      </c>
      <c r="B5" s="84" t="s">
        <v>603</v>
      </c>
      <c r="C5" s="82" t="s">
        <v>650</v>
      </c>
      <c r="D5" s="83" t="s">
        <v>605</v>
      </c>
      <c r="E5" s="82" t="s">
        <v>688</v>
      </c>
      <c r="F5" s="82" t="s">
        <v>607</v>
      </c>
    </row>
    <row r="6" spans="1:6" ht="27.95" customHeight="1">
      <c r="A6" s="82" t="s">
        <v>1562</v>
      </c>
      <c r="B6" s="85" t="s">
        <v>619</v>
      </c>
      <c r="C6" s="82" t="s">
        <v>650</v>
      </c>
      <c r="D6" s="83" t="s">
        <v>605</v>
      </c>
      <c r="E6" s="82" t="s">
        <v>651</v>
      </c>
      <c r="F6" s="82" t="s">
        <v>607</v>
      </c>
    </row>
    <row r="7" spans="1:6" ht="27.95" customHeight="1">
      <c r="A7" s="82" t="s">
        <v>1563</v>
      </c>
      <c r="B7" s="85" t="s">
        <v>619</v>
      </c>
      <c r="C7" s="82" t="s">
        <v>650</v>
      </c>
      <c r="D7" s="83" t="s">
        <v>605</v>
      </c>
      <c r="E7" s="82" t="s">
        <v>651</v>
      </c>
      <c r="F7" s="82" t="s">
        <v>607</v>
      </c>
    </row>
    <row r="8" spans="1:6" ht="27.95" customHeight="1">
      <c r="A8" s="82" t="s">
        <v>1564</v>
      </c>
      <c r="B8" s="85" t="s">
        <v>619</v>
      </c>
      <c r="C8" s="82" t="s">
        <v>650</v>
      </c>
      <c r="D8" s="83" t="s">
        <v>605</v>
      </c>
      <c r="E8" s="82" t="s">
        <v>651</v>
      </c>
      <c r="F8" s="82" t="s">
        <v>607</v>
      </c>
    </row>
    <row r="9" spans="1:6" ht="27.95" customHeight="1">
      <c r="A9" s="82" t="s">
        <v>1565</v>
      </c>
      <c r="B9" s="85" t="s">
        <v>619</v>
      </c>
      <c r="C9" s="82" t="s">
        <v>1566</v>
      </c>
      <c r="D9" s="83" t="s">
        <v>605</v>
      </c>
      <c r="E9" s="82" t="s">
        <v>620</v>
      </c>
      <c r="F9" s="82" t="s">
        <v>870</v>
      </c>
    </row>
    <row r="10" spans="1:6" ht="27.95" customHeight="1">
      <c r="A10" s="82" t="s">
        <v>1567</v>
      </c>
      <c r="B10" s="84" t="s">
        <v>603</v>
      </c>
      <c r="C10" s="82" t="s">
        <v>1568</v>
      </c>
      <c r="D10" s="83" t="s">
        <v>605</v>
      </c>
      <c r="E10" s="82" t="s">
        <v>1569</v>
      </c>
      <c r="F10" s="82" t="s">
        <v>1570</v>
      </c>
    </row>
    <row r="11" spans="1:6" ht="27.95" customHeight="1">
      <c r="A11" s="82" t="s">
        <v>1571</v>
      </c>
      <c r="B11" s="85" t="s">
        <v>619</v>
      </c>
      <c r="C11" s="82" t="s">
        <v>888</v>
      </c>
      <c r="D11" s="83" t="s">
        <v>605</v>
      </c>
      <c r="E11" s="82" t="s">
        <v>620</v>
      </c>
      <c r="F11" s="82" t="s">
        <v>607</v>
      </c>
    </row>
    <row r="12" spans="1:6" ht="27.95" customHeight="1">
      <c r="A12" s="82" t="s">
        <v>1572</v>
      </c>
      <c r="B12" s="84" t="s">
        <v>603</v>
      </c>
      <c r="C12" s="82" t="s">
        <v>888</v>
      </c>
      <c r="D12" s="83" t="s">
        <v>605</v>
      </c>
      <c r="E12" s="82" t="s">
        <v>606</v>
      </c>
      <c r="F12" s="82" t="s">
        <v>607</v>
      </c>
    </row>
    <row r="13" spans="1:6" ht="27.95" customHeight="1">
      <c r="A13" s="82" t="s">
        <v>1573</v>
      </c>
      <c r="B13" s="84" t="s">
        <v>603</v>
      </c>
      <c r="C13" s="82" t="s">
        <v>1574</v>
      </c>
      <c r="D13" s="83" t="s">
        <v>605</v>
      </c>
      <c r="E13" s="82" t="s">
        <v>1575</v>
      </c>
      <c r="F13" s="82" t="s">
        <v>1576</v>
      </c>
    </row>
    <row r="14" spans="1:6" ht="27.95" customHeight="1">
      <c r="A14" s="82" t="s">
        <v>1482</v>
      </c>
      <c r="B14" s="84" t="s">
        <v>603</v>
      </c>
      <c r="C14" s="82" t="s">
        <v>1483</v>
      </c>
      <c r="D14" s="83" t="s">
        <v>605</v>
      </c>
      <c r="E14" s="82" t="s">
        <v>610</v>
      </c>
      <c r="F14" s="82" t="s">
        <v>1577</v>
      </c>
    </row>
    <row r="15" spans="1:6" ht="27.95" customHeight="1">
      <c r="A15" s="82" t="s">
        <v>1578</v>
      </c>
      <c r="B15" s="85" t="s">
        <v>619</v>
      </c>
      <c r="C15" s="82" t="s">
        <v>650</v>
      </c>
      <c r="D15" s="83" t="s">
        <v>605</v>
      </c>
      <c r="E15" s="82" t="s">
        <v>651</v>
      </c>
      <c r="F15" s="82" t="s">
        <v>607</v>
      </c>
    </row>
    <row r="16" spans="1:6" ht="27.95" customHeight="1">
      <c r="A16" s="82" t="s">
        <v>1579</v>
      </c>
      <c r="B16" s="85" t="s">
        <v>619</v>
      </c>
      <c r="C16" s="82" t="s">
        <v>650</v>
      </c>
      <c r="D16" s="83" t="s">
        <v>605</v>
      </c>
      <c r="E16" s="82" t="s">
        <v>651</v>
      </c>
      <c r="F16" s="82" t="s">
        <v>607</v>
      </c>
    </row>
    <row r="17" spans="1:6" ht="27.95" customHeight="1">
      <c r="A17" s="82" t="s">
        <v>1580</v>
      </c>
      <c r="B17" s="85" t="s">
        <v>619</v>
      </c>
      <c r="C17" s="82" t="s">
        <v>650</v>
      </c>
      <c r="D17" s="83" t="s">
        <v>605</v>
      </c>
      <c r="E17" s="82" t="s">
        <v>651</v>
      </c>
      <c r="F17" s="82" t="s">
        <v>607</v>
      </c>
    </row>
    <row r="18" spans="1:6" ht="27.95" customHeight="1">
      <c r="A18" s="82" t="s">
        <v>1581</v>
      </c>
      <c r="B18" s="84" t="s">
        <v>603</v>
      </c>
      <c r="C18" s="82" t="s">
        <v>1582</v>
      </c>
      <c r="D18" s="83" t="s">
        <v>605</v>
      </c>
      <c r="E18" s="82" t="s">
        <v>804</v>
      </c>
      <c r="F18" s="82" t="s">
        <v>607</v>
      </c>
    </row>
    <row r="19" spans="1:6" ht="27.95" customHeight="1">
      <c r="A19" s="82" t="s">
        <v>1583</v>
      </c>
      <c r="B19" s="84" t="s">
        <v>603</v>
      </c>
      <c r="C19" s="82" t="s">
        <v>609</v>
      </c>
      <c r="D19" s="83" t="s">
        <v>605</v>
      </c>
      <c r="E19" s="82" t="s">
        <v>610</v>
      </c>
      <c r="F19" s="82" t="s">
        <v>1434</v>
      </c>
    </row>
    <row r="20" spans="1:6" ht="27.95" customHeight="1">
      <c r="A20" s="82" t="s">
        <v>1584</v>
      </c>
      <c r="B20" s="85" t="s">
        <v>619</v>
      </c>
      <c r="C20" s="82" t="s">
        <v>650</v>
      </c>
      <c r="D20" s="83" t="s">
        <v>605</v>
      </c>
      <c r="E20" s="82" t="s">
        <v>651</v>
      </c>
      <c r="F20" s="82" t="s">
        <v>607</v>
      </c>
    </row>
    <row r="21" spans="1:6" ht="27.95" customHeight="1">
      <c r="A21" s="82" t="s">
        <v>1585</v>
      </c>
      <c r="B21" s="85" t="s">
        <v>619</v>
      </c>
      <c r="C21" s="82" t="s">
        <v>650</v>
      </c>
      <c r="D21" s="83" t="s">
        <v>605</v>
      </c>
      <c r="E21" s="82" t="s">
        <v>651</v>
      </c>
      <c r="F21" s="82" t="s">
        <v>607</v>
      </c>
    </row>
    <row r="22" spans="1:6" ht="27.95" customHeight="1">
      <c r="A22" s="82" t="s">
        <v>1586</v>
      </c>
      <c r="B22" s="85" t="s">
        <v>619</v>
      </c>
      <c r="C22" s="82" t="s">
        <v>650</v>
      </c>
      <c r="D22" s="83" t="s">
        <v>605</v>
      </c>
      <c r="E22" s="82" t="s">
        <v>651</v>
      </c>
      <c r="F22" s="82" t="s">
        <v>607</v>
      </c>
    </row>
    <row r="23" spans="1:6" ht="27.95" customHeight="1">
      <c r="A23" s="82" t="s">
        <v>1587</v>
      </c>
      <c r="B23" s="85" t="s">
        <v>619</v>
      </c>
      <c r="C23" s="82" t="s">
        <v>650</v>
      </c>
      <c r="D23" s="83" t="s">
        <v>605</v>
      </c>
      <c r="E23" s="82" t="s">
        <v>651</v>
      </c>
      <c r="F23" s="82" t="s">
        <v>607</v>
      </c>
    </row>
    <row r="24" spans="1:6" ht="27.95" customHeight="1">
      <c r="A24" s="82" t="s">
        <v>1588</v>
      </c>
      <c r="B24" s="84" t="s">
        <v>603</v>
      </c>
      <c r="C24" s="82" t="s">
        <v>1589</v>
      </c>
      <c r="D24" s="83" t="s">
        <v>605</v>
      </c>
      <c r="E24" s="82" t="s">
        <v>610</v>
      </c>
      <c r="F24" s="82" t="s">
        <v>607</v>
      </c>
    </row>
    <row r="25" spans="1:6" ht="27.95" customHeight="1">
      <c r="A25" s="82" t="s">
        <v>1590</v>
      </c>
      <c r="B25" s="85" t="s">
        <v>619</v>
      </c>
      <c r="C25" s="82" t="s">
        <v>650</v>
      </c>
      <c r="D25" s="83" t="s">
        <v>605</v>
      </c>
      <c r="E25" s="82" t="s">
        <v>651</v>
      </c>
      <c r="F25" s="82" t="s">
        <v>607</v>
      </c>
    </row>
    <row r="26" spans="1:6" ht="27.95" customHeight="1">
      <c r="A26" s="82" t="s">
        <v>1591</v>
      </c>
      <c r="B26" s="85" t="s">
        <v>619</v>
      </c>
      <c r="C26" s="82" t="s">
        <v>650</v>
      </c>
      <c r="D26" s="83" t="s">
        <v>605</v>
      </c>
      <c r="E26" s="82" t="s">
        <v>651</v>
      </c>
      <c r="F26" s="82" t="s">
        <v>607</v>
      </c>
    </row>
    <row r="27" spans="1:6" ht="27.95" customHeight="1">
      <c r="A27" s="82" t="s">
        <v>1592</v>
      </c>
      <c r="B27" s="85" t="s">
        <v>619</v>
      </c>
      <c r="C27" s="82" t="s">
        <v>650</v>
      </c>
      <c r="D27" s="83" t="s">
        <v>605</v>
      </c>
      <c r="E27" s="82" t="s">
        <v>651</v>
      </c>
      <c r="F27" s="82" t="s">
        <v>607</v>
      </c>
    </row>
    <row r="28" spans="1:6" ht="27.95" customHeight="1">
      <c r="A28" s="82" t="s">
        <v>1593</v>
      </c>
      <c r="B28" s="85" t="s">
        <v>619</v>
      </c>
      <c r="C28" s="82" t="s">
        <v>626</v>
      </c>
      <c r="D28" s="83" t="s">
        <v>605</v>
      </c>
      <c r="E28" s="82" t="s">
        <v>620</v>
      </c>
      <c r="F28" s="82" t="s">
        <v>607</v>
      </c>
    </row>
    <row r="29" spans="1:6" ht="27.95" customHeight="1">
      <c r="A29" s="82" t="s">
        <v>1594</v>
      </c>
      <c r="B29" s="84" t="s">
        <v>603</v>
      </c>
      <c r="C29" s="82" t="s">
        <v>650</v>
      </c>
      <c r="D29" s="83" t="s">
        <v>605</v>
      </c>
      <c r="E29" s="82" t="s">
        <v>688</v>
      </c>
      <c r="F29" s="82" t="s">
        <v>607</v>
      </c>
    </row>
    <row r="30" spans="1:6" ht="27.95" customHeight="1">
      <c r="A30" s="82" t="s">
        <v>1595</v>
      </c>
      <c r="B30" s="85" t="s">
        <v>619</v>
      </c>
      <c r="C30" s="82" t="s">
        <v>650</v>
      </c>
      <c r="D30" s="83" t="s">
        <v>605</v>
      </c>
      <c r="E30" s="82" t="s">
        <v>651</v>
      </c>
      <c r="F30" s="82" t="s">
        <v>607</v>
      </c>
    </row>
    <row r="31" spans="1:6" ht="27.95" customHeight="1">
      <c r="A31" s="82" t="s">
        <v>1596</v>
      </c>
      <c r="B31" s="84" t="s">
        <v>603</v>
      </c>
      <c r="C31" s="82" t="s">
        <v>650</v>
      </c>
      <c r="D31" s="83" t="s">
        <v>605</v>
      </c>
      <c r="E31" s="82" t="s">
        <v>688</v>
      </c>
      <c r="F31" s="82" t="s">
        <v>607</v>
      </c>
    </row>
    <row r="32" spans="1:6" ht="27.95" customHeight="1">
      <c r="A32" s="82" t="s">
        <v>1597</v>
      </c>
      <c r="B32" s="84" t="s">
        <v>603</v>
      </c>
      <c r="C32" s="82" t="s">
        <v>1598</v>
      </c>
      <c r="D32" s="83" t="s">
        <v>605</v>
      </c>
      <c r="E32" s="82" t="s">
        <v>606</v>
      </c>
      <c r="F32" s="82" t="s">
        <v>691</v>
      </c>
    </row>
    <row r="33" spans="1:6" ht="27.95" customHeight="1">
      <c r="A33" s="82" t="s">
        <v>1599</v>
      </c>
      <c r="B33" s="84" t="s">
        <v>603</v>
      </c>
      <c r="C33" s="82" t="s">
        <v>650</v>
      </c>
      <c r="D33" s="83" t="s">
        <v>605</v>
      </c>
      <c r="E33" s="82" t="s">
        <v>688</v>
      </c>
      <c r="F33" s="82" t="s">
        <v>607</v>
      </c>
    </row>
    <row r="34" spans="1:6" ht="27.95" customHeight="1">
      <c r="A34" s="82" t="s">
        <v>1600</v>
      </c>
      <c r="B34" s="85" t="s">
        <v>619</v>
      </c>
      <c r="C34" s="82" t="s">
        <v>650</v>
      </c>
      <c r="D34" s="83" t="s">
        <v>605</v>
      </c>
      <c r="E34" s="82" t="s">
        <v>651</v>
      </c>
      <c r="F34" s="82" t="s">
        <v>607</v>
      </c>
    </row>
    <row r="35" spans="1:6" ht="27.95" customHeight="1">
      <c r="A35" s="82" t="s">
        <v>1601</v>
      </c>
      <c r="B35" s="84" t="s">
        <v>603</v>
      </c>
      <c r="C35" s="82" t="s">
        <v>911</v>
      </c>
      <c r="D35" s="83" t="s">
        <v>605</v>
      </c>
      <c r="E35" s="82" t="s">
        <v>1602</v>
      </c>
      <c r="F35" s="82" t="s">
        <v>607</v>
      </c>
    </row>
    <row r="36" spans="1:6" ht="27.95" customHeight="1">
      <c r="A36" s="82" t="s">
        <v>1603</v>
      </c>
      <c r="B36" s="84" t="s">
        <v>603</v>
      </c>
      <c r="C36" s="82" t="s">
        <v>650</v>
      </c>
      <c r="D36" s="83" t="s">
        <v>605</v>
      </c>
      <c r="E36" s="82" t="s">
        <v>688</v>
      </c>
      <c r="F36" s="82" t="s">
        <v>607</v>
      </c>
    </row>
    <row r="37" spans="1:6" ht="27.95" customHeight="1">
      <c r="A37" s="82" t="s">
        <v>1604</v>
      </c>
      <c r="B37" s="85" t="s">
        <v>619</v>
      </c>
      <c r="C37" s="82" t="s">
        <v>330</v>
      </c>
      <c r="D37" s="83" t="s">
        <v>605</v>
      </c>
      <c r="E37" s="82" t="s">
        <v>620</v>
      </c>
      <c r="F37" s="82" t="s">
        <v>607</v>
      </c>
    </row>
    <row r="38" spans="1:6" ht="27.95" customHeight="1">
      <c r="A38" s="82" t="s">
        <v>1605</v>
      </c>
      <c r="B38" s="84" t="s">
        <v>603</v>
      </c>
      <c r="C38" s="82" t="s">
        <v>1606</v>
      </c>
      <c r="D38" s="83" t="s">
        <v>605</v>
      </c>
      <c r="E38" s="82" t="s">
        <v>606</v>
      </c>
      <c r="F38" s="82" t="s">
        <v>607</v>
      </c>
    </row>
    <row r="39" spans="1:6" ht="27.95" customHeight="1">
      <c r="A39" s="82" t="s">
        <v>1607</v>
      </c>
      <c r="B39" s="85" t="s">
        <v>619</v>
      </c>
      <c r="C39" s="82" t="s">
        <v>650</v>
      </c>
      <c r="D39" s="83" t="s">
        <v>605</v>
      </c>
      <c r="E39" s="82" t="s">
        <v>651</v>
      </c>
      <c r="F39" s="82" t="s">
        <v>607</v>
      </c>
    </row>
    <row r="40" spans="1:6" ht="27.95" customHeight="1">
      <c r="A40" s="82" t="s">
        <v>1608</v>
      </c>
      <c r="B40" s="85" t="s">
        <v>619</v>
      </c>
      <c r="C40" s="82" t="s">
        <v>650</v>
      </c>
      <c r="D40" s="83" t="s">
        <v>605</v>
      </c>
      <c r="E40" s="82" t="s">
        <v>651</v>
      </c>
      <c r="F40" s="82" t="s">
        <v>607</v>
      </c>
    </row>
    <row r="41" spans="1:6" ht="27.95" customHeight="1">
      <c r="A41" s="82" t="s">
        <v>1609</v>
      </c>
      <c r="B41" s="84" t="s">
        <v>603</v>
      </c>
      <c r="C41" s="82" t="s">
        <v>1610</v>
      </c>
      <c r="D41" s="83" t="s">
        <v>605</v>
      </c>
      <c r="E41" s="82" t="s">
        <v>1611</v>
      </c>
      <c r="F41" s="82" t="s">
        <v>637</v>
      </c>
    </row>
    <row r="42" spans="1:6" ht="27.95" customHeight="1">
      <c r="A42" s="82" t="s">
        <v>1612</v>
      </c>
      <c r="B42" s="84" t="s">
        <v>603</v>
      </c>
      <c r="C42" s="82" t="s">
        <v>1613</v>
      </c>
      <c r="D42" s="83" t="s">
        <v>605</v>
      </c>
      <c r="E42" s="82" t="s">
        <v>876</v>
      </c>
      <c r="F42" s="82" t="s">
        <v>1614</v>
      </c>
    </row>
    <row r="43" spans="1:6" ht="27.95" customHeight="1">
      <c r="A43" s="82" t="s">
        <v>1615</v>
      </c>
      <c r="B43" s="84" t="s">
        <v>603</v>
      </c>
      <c r="C43" s="82" t="s">
        <v>1616</v>
      </c>
      <c r="D43" s="83" t="s">
        <v>605</v>
      </c>
      <c r="E43" s="82" t="s">
        <v>610</v>
      </c>
      <c r="F43" s="82" t="s">
        <v>1287</v>
      </c>
    </row>
    <row r="44" spans="1:6" ht="27.95" customHeight="1">
      <c r="A44" s="82" t="s">
        <v>1617</v>
      </c>
      <c r="B44" s="84" t="s">
        <v>603</v>
      </c>
      <c r="C44" s="82" t="s">
        <v>1219</v>
      </c>
      <c r="D44" s="83" t="s">
        <v>605</v>
      </c>
      <c r="E44" s="82" t="s">
        <v>610</v>
      </c>
      <c r="F44" s="82" t="s">
        <v>607</v>
      </c>
    </row>
    <row r="45" spans="1:6" ht="27.95" customHeight="1">
      <c r="A45" s="82" t="s">
        <v>1618</v>
      </c>
      <c r="B45" s="84" t="s">
        <v>603</v>
      </c>
      <c r="C45" s="82" t="s">
        <v>1619</v>
      </c>
      <c r="D45" s="83" t="s">
        <v>605</v>
      </c>
      <c r="E45" s="82" t="s">
        <v>1620</v>
      </c>
      <c r="F45" s="82" t="s">
        <v>1621</v>
      </c>
    </row>
    <row r="46" spans="1:6" ht="27.95" customHeight="1">
      <c r="A46" s="82" t="s">
        <v>1622</v>
      </c>
      <c r="B46" s="85" t="s">
        <v>619</v>
      </c>
      <c r="C46" s="82" t="s">
        <v>1623</v>
      </c>
      <c r="D46" s="83" t="s">
        <v>605</v>
      </c>
      <c r="E46" s="82" t="s">
        <v>620</v>
      </c>
      <c r="F46" s="82" t="s">
        <v>607</v>
      </c>
    </row>
    <row r="47" spans="1:6" ht="27.95" customHeight="1">
      <c r="A47" s="82" t="s">
        <v>120</v>
      </c>
      <c r="B47" s="84" t="s">
        <v>603</v>
      </c>
      <c r="C47" s="82" t="s">
        <v>1624</v>
      </c>
      <c r="D47" s="83" t="s">
        <v>605</v>
      </c>
      <c r="E47" s="82" t="s">
        <v>610</v>
      </c>
      <c r="F47" s="82" t="s">
        <v>1021</v>
      </c>
    </row>
    <row r="48" spans="1:6" ht="27.95" customHeight="1">
      <c r="A48" s="82" t="s">
        <v>1625</v>
      </c>
      <c r="B48" s="85" t="s">
        <v>619</v>
      </c>
      <c r="C48" s="90" t="s">
        <v>650</v>
      </c>
      <c r="D48" s="91" t="s">
        <v>605</v>
      </c>
      <c r="E48" s="82" t="s">
        <v>651</v>
      </c>
      <c r="F48" s="82" t="s">
        <v>607</v>
      </c>
    </row>
    <row r="49" spans="1:6" ht="27.95" customHeight="1">
      <c r="A49" s="82" t="s">
        <v>163</v>
      </c>
      <c r="B49" s="84" t="s">
        <v>603</v>
      </c>
      <c r="C49" s="90" t="s">
        <v>1626</v>
      </c>
      <c r="D49" s="91" t="s">
        <v>605</v>
      </c>
      <c r="E49" s="82" t="s">
        <v>610</v>
      </c>
      <c r="F49" s="82" t="s">
        <v>1627</v>
      </c>
    </row>
    <row r="50" spans="1:6" ht="27.95" customHeight="1">
      <c r="A50" s="82" t="s">
        <v>1628</v>
      </c>
      <c r="B50" s="85" t="s">
        <v>619</v>
      </c>
      <c r="C50" s="90" t="s">
        <v>650</v>
      </c>
      <c r="D50" s="91" t="s">
        <v>605</v>
      </c>
      <c r="E50" s="82" t="s">
        <v>651</v>
      </c>
      <c r="F50" s="82" t="s">
        <v>607</v>
      </c>
    </row>
    <row r="51" spans="1:6" ht="27.95" customHeight="1">
      <c r="A51" s="82" t="s">
        <v>1629</v>
      </c>
      <c r="B51" s="85" t="s">
        <v>619</v>
      </c>
      <c r="C51" s="82" t="s">
        <v>650</v>
      </c>
      <c r="D51" s="83" t="s">
        <v>605</v>
      </c>
      <c r="E51" s="82" t="s">
        <v>651</v>
      </c>
      <c r="F51" s="82" t="s">
        <v>607</v>
      </c>
    </row>
    <row r="52" spans="1:6" ht="27.95" customHeight="1">
      <c r="A52" s="82" t="s">
        <v>1630</v>
      </c>
      <c r="B52" s="85" t="s">
        <v>619</v>
      </c>
      <c r="C52" s="82" t="s">
        <v>622</v>
      </c>
      <c r="D52" s="83" t="s">
        <v>605</v>
      </c>
      <c r="E52" s="82" t="s">
        <v>620</v>
      </c>
      <c r="F52" s="82" t="s">
        <v>607</v>
      </c>
    </row>
    <row r="53" spans="1:6" ht="27.95" customHeight="1">
      <c r="A53" s="82" t="s">
        <v>1631</v>
      </c>
      <c r="B53" s="84" t="s">
        <v>603</v>
      </c>
      <c r="C53" s="93" t="s">
        <v>1632</v>
      </c>
      <c r="D53" s="83" t="s">
        <v>605</v>
      </c>
      <c r="E53" s="82" t="s">
        <v>606</v>
      </c>
      <c r="F53" s="82" t="s">
        <v>691</v>
      </c>
    </row>
    <row r="54" spans="1:6" ht="27.95" customHeight="1">
      <c r="A54" s="82" t="s">
        <v>1633</v>
      </c>
      <c r="B54" s="85" t="s">
        <v>619</v>
      </c>
      <c r="C54" s="93" t="s">
        <v>650</v>
      </c>
      <c r="D54" s="83" t="s">
        <v>605</v>
      </c>
      <c r="E54" s="82" t="s">
        <v>651</v>
      </c>
      <c r="F54" s="82" t="s">
        <v>607</v>
      </c>
    </row>
    <row r="55" spans="1:6" ht="27.95" customHeight="1">
      <c r="A55" s="82" t="s">
        <v>334</v>
      </c>
      <c r="B55" s="84" t="s">
        <v>603</v>
      </c>
      <c r="C55" s="82" t="s">
        <v>1634</v>
      </c>
      <c r="D55" s="83" t="s">
        <v>605</v>
      </c>
      <c r="E55" s="82" t="s">
        <v>610</v>
      </c>
      <c r="F55" s="82" t="s">
        <v>1635</v>
      </c>
    </row>
    <row r="56" spans="1:6" ht="27.95" customHeight="1">
      <c r="A56" s="82" t="s">
        <v>1636</v>
      </c>
      <c r="B56" s="85" t="s">
        <v>619</v>
      </c>
      <c r="C56" s="93" t="s">
        <v>650</v>
      </c>
      <c r="D56" s="83" t="s">
        <v>605</v>
      </c>
      <c r="E56" s="82" t="s">
        <v>651</v>
      </c>
      <c r="F56" s="82" t="s">
        <v>607</v>
      </c>
    </row>
    <row r="57" spans="1:6" ht="15">
      <c r="C57" s="53"/>
      <c r="D57" s="54"/>
    </row>
    <row r="58" spans="1:6" ht="15">
      <c r="C58" s="88" t="s">
        <v>633</v>
      </c>
      <c r="D58" s="89" t="str">
        <f>COUNTIF(D2:D56,"☑")&amp;" / "&amp;COUNTA(A2:A56)</f>
        <v>0 / 55</v>
      </c>
    </row>
  </sheetData>
  <conditionalFormatting sqref="B2:B46">
    <cfRule type="expression" dxfId="100" priority="1">
      <formula>B2="A"</formula>
    </cfRule>
    <cfRule type="expression" dxfId="99" priority="2">
      <formula>B2="B"</formula>
    </cfRule>
    <cfRule type="expression" dxfId="98" priority="3">
      <formula>B2="C"</formula>
    </cfRule>
  </conditionalFormatting>
  <conditionalFormatting sqref="D2:D55">
    <cfRule type="expression" dxfId="97" priority="4">
      <formula>D2="☑"</formula>
    </cfRule>
  </conditionalFormatting>
  <conditionalFormatting sqref="D2:D56">
    <cfRule type="expression" dxfId="96" priority="14">
      <formula>D2="☑"</formula>
    </cfRule>
  </conditionalFormatting>
  <dataValidations count="1">
    <dataValidation type="list" sqref="D2:D56" xr:uid="{00000000-0002-0000-1200-000000000000}">
      <formula1>"☐,☑"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71"/>
  <sheetViews>
    <sheetView workbookViewId="0"/>
  </sheetViews>
  <sheetFormatPr defaultRowHeight="14.25"/>
  <cols>
    <col min="1" max="1" width="34" customWidth="1"/>
    <col min="2" max="2" width="10" customWidth="1"/>
    <col min="3" max="3" width="50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81" t="s">
        <v>598</v>
      </c>
      <c r="B1" s="81" t="s">
        <v>599</v>
      </c>
      <c r="C1" s="81" t="s">
        <v>13</v>
      </c>
      <c r="D1" s="81" t="s">
        <v>3</v>
      </c>
      <c r="E1" s="81" t="s">
        <v>600</v>
      </c>
      <c r="F1" s="81" t="s">
        <v>601</v>
      </c>
    </row>
    <row r="2" spans="1:6" ht="27.95" customHeight="1">
      <c r="A2" s="82" t="s">
        <v>1637</v>
      </c>
      <c r="B2" s="85" t="s">
        <v>619</v>
      </c>
      <c r="C2" s="82" t="s">
        <v>650</v>
      </c>
      <c r="D2" s="83" t="s">
        <v>605</v>
      </c>
      <c r="E2" s="82" t="s">
        <v>651</v>
      </c>
      <c r="F2" s="82" t="s">
        <v>607</v>
      </c>
    </row>
    <row r="3" spans="1:6" ht="27.95" customHeight="1">
      <c r="A3" s="82" t="s">
        <v>1638</v>
      </c>
      <c r="B3" s="84" t="s">
        <v>603</v>
      </c>
      <c r="C3" s="82" t="s">
        <v>1639</v>
      </c>
      <c r="D3" s="83" t="s">
        <v>605</v>
      </c>
      <c r="E3" s="82" t="s">
        <v>610</v>
      </c>
      <c r="F3" s="82" t="s">
        <v>691</v>
      </c>
    </row>
    <row r="4" spans="1:6" ht="27.95" customHeight="1">
      <c r="A4" s="82" t="s">
        <v>1640</v>
      </c>
      <c r="B4" s="85" t="s">
        <v>619</v>
      </c>
      <c r="C4" s="82" t="s">
        <v>650</v>
      </c>
      <c r="D4" s="83" t="s">
        <v>605</v>
      </c>
      <c r="E4" s="82" t="s">
        <v>651</v>
      </c>
      <c r="F4" s="82" t="s">
        <v>607</v>
      </c>
    </row>
    <row r="5" spans="1:6" ht="27.95" customHeight="1">
      <c r="A5" s="82" t="s">
        <v>1641</v>
      </c>
      <c r="B5" s="85" t="s">
        <v>619</v>
      </c>
      <c r="C5" s="82" t="s">
        <v>650</v>
      </c>
      <c r="D5" s="83" t="s">
        <v>605</v>
      </c>
      <c r="E5" s="82" t="s">
        <v>651</v>
      </c>
      <c r="F5" s="82" t="s">
        <v>607</v>
      </c>
    </row>
    <row r="6" spans="1:6" ht="27.95" customHeight="1">
      <c r="A6" s="82" t="s">
        <v>1642</v>
      </c>
      <c r="B6" s="84" t="s">
        <v>603</v>
      </c>
      <c r="C6" s="82" t="s">
        <v>1643</v>
      </c>
      <c r="D6" s="83" t="s">
        <v>605</v>
      </c>
      <c r="E6" s="82" t="s">
        <v>606</v>
      </c>
      <c r="F6" s="82" t="s">
        <v>607</v>
      </c>
    </row>
    <row r="7" spans="1:6" ht="27.95" customHeight="1">
      <c r="A7" s="82" t="s">
        <v>1644</v>
      </c>
      <c r="B7" s="84" t="s">
        <v>603</v>
      </c>
      <c r="C7" s="82" t="s">
        <v>1645</v>
      </c>
      <c r="D7" s="83" t="s">
        <v>605</v>
      </c>
      <c r="E7" s="82" t="s">
        <v>610</v>
      </c>
      <c r="F7" s="82" t="s">
        <v>747</v>
      </c>
    </row>
    <row r="8" spans="1:6" ht="27.95" customHeight="1">
      <c r="A8" s="82" t="s">
        <v>1646</v>
      </c>
      <c r="B8" s="85" t="s">
        <v>619</v>
      </c>
      <c r="C8" s="82" t="s">
        <v>650</v>
      </c>
      <c r="D8" s="83" t="s">
        <v>605</v>
      </c>
      <c r="E8" s="82" t="s">
        <v>651</v>
      </c>
      <c r="F8" s="82" t="s">
        <v>607</v>
      </c>
    </row>
    <row r="9" spans="1:6" ht="27.95" customHeight="1">
      <c r="A9" s="82" t="s">
        <v>1647</v>
      </c>
      <c r="B9" s="84" t="s">
        <v>603</v>
      </c>
      <c r="C9" s="82" t="s">
        <v>1351</v>
      </c>
      <c r="D9" s="83" t="s">
        <v>605</v>
      </c>
      <c r="E9" s="82" t="s">
        <v>610</v>
      </c>
      <c r="F9" s="82" t="s">
        <v>607</v>
      </c>
    </row>
    <row r="10" spans="1:6" ht="27.95" customHeight="1">
      <c r="A10" s="82" t="s">
        <v>1648</v>
      </c>
      <c r="B10" s="85" t="s">
        <v>619</v>
      </c>
      <c r="C10" s="82" t="s">
        <v>888</v>
      </c>
      <c r="D10" s="83" t="s">
        <v>605</v>
      </c>
      <c r="E10" s="82" t="s">
        <v>620</v>
      </c>
      <c r="F10" s="82" t="s">
        <v>607</v>
      </c>
    </row>
    <row r="11" spans="1:6" ht="27.95" customHeight="1">
      <c r="A11" s="82" t="s">
        <v>1649</v>
      </c>
      <c r="B11" s="85" t="s">
        <v>619</v>
      </c>
      <c r="C11" s="82" t="s">
        <v>1650</v>
      </c>
      <c r="D11" s="83" t="s">
        <v>605</v>
      </c>
      <c r="E11" s="82" t="s">
        <v>620</v>
      </c>
      <c r="F11" s="82" t="s">
        <v>607</v>
      </c>
    </row>
    <row r="12" spans="1:6" ht="27.95" customHeight="1">
      <c r="A12" s="82" t="s">
        <v>1651</v>
      </c>
      <c r="B12" s="84" t="s">
        <v>603</v>
      </c>
      <c r="C12" s="82" t="s">
        <v>1652</v>
      </c>
      <c r="D12" s="83" t="s">
        <v>605</v>
      </c>
      <c r="E12" s="82" t="s">
        <v>636</v>
      </c>
      <c r="F12" s="82" t="s">
        <v>1514</v>
      </c>
    </row>
    <row r="13" spans="1:6" ht="27.95" customHeight="1">
      <c r="A13" s="82" t="s">
        <v>1653</v>
      </c>
      <c r="B13" s="84" t="s">
        <v>603</v>
      </c>
      <c r="C13" s="82" t="s">
        <v>1654</v>
      </c>
      <c r="D13" s="83" t="s">
        <v>605</v>
      </c>
      <c r="E13" s="82" t="s">
        <v>610</v>
      </c>
      <c r="F13" s="82" t="s">
        <v>1655</v>
      </c>
    </row>
    <row r="14" spans="1:6" ht="27.95" customHeight="1">
      <c r="A14" s="82" t="s">
        <v>1656</v>
      </c>
      <c r="B14" s="85" t="s">
        <v>619</v>
      </c>
      <c r="C14" s="82" t="s">
        <v>1657</v>
      </c>
      <c r="D14" s="83" t="s">
        <v>605</v>
      </c>
      <c r="E14" s="82" t="s">
        <v>620</v>
      </c>
      <c r="F14" s="82" t="s">
        <v>1021</v>
      </c>
    </row>
    <row r="15" spans="1:6" ht="27.95" customHeight="1">
      <c r="A15" s="82" t="s">
        <v>1658</v>
      </c>
      <c r="B15" s="85" t="s">
        <v>619</v>
      </c>
      <c r="C15" s="82" t="s">
        <v>650</v>
      </c>
      <c r="D15" s="83" t="s">
        <v>605</v>
      </c>
      <c r="E15" s="82" t="s">
        <v>651</v>
      </c>
      <c r="F15" s="82" t="s">
        <v>607</v>
      </c>
    </row>
    <row r="16" spans="1:6" ht="27.95" customHeight="1">
      <c r="A16" s="82" t="s">
        <v>1659</v>
      </c>
      <c r="B16" s="84" t="s">
        <v>603</v>
      </c>
      <c r="C16" s="82" t="s">
        <v>1660</v>
      </c>
      <c r="D16" s="83" t="s">
        <v>605</v>
      </c>
      <c r="E16" s="82" t="s">
        <v>876</v>
      </c>
      <c r="F16" s="82" t="s">
        <v>1661</v>
      </c>
    </row>
    <row r="17" spans="1:6" ht="27.95" customHeight="1">
      <c r="A17" s="82" t="s">
        <v>1662</v>
      </c>
      <c r="B17" s="85" t="s">
        <v>619</v>
      </c>
      <c r="C17" s="82" t="s">
        <v>650</v>
      </c>
      <c r="D17" s="83" t="s">
        <v>605</v>
      </c>
      <c r="E17" s="82" t="s">
        <v>651</v>
      </c>
      <c r="F17" s="82" t="s">
        <v>607</v>
      </c>
    </row>
    <row r="18" spans="1:6" ht="27.95" customHeight="1">
      <c r="A18" s="82" t="s">
        <v>1663</v>
      </c>
      <c r="B18" s="84" t="s">
        <v>603</v>
      </c>
      <c r="C18" s="82" t="s">
        <v>1664</v>
      </c>
      <c r="D18" s="83" t="s">
        <v>605</v>
      </c>
      <c r="E18" s="82" t="s">
        <v>606</v>
      </c>
      <c r="F18" s="82" t="s">
        <v>691</v>
      </c>
    </row>
    <row r="19" spans="1:6" ht="27.95" customHeight="1">
      <c r="A19" s="82" t="s">
        <v>1665</v>
      </c>
      <c r="B19" s="86" t="s">
        <v>615</v>
      </c>
      <c r="C19" s="82" t="s">
        <v>1666</v>
      </c>
      <c r="D19" s="83" t="s">
        <v>605</v>
      </c>
      <c r="E19" s="82" t="s">
        <v>617</v>
      </c>
      <c r="F19" s="82" t="s">
        <v>607</v>
      </c>
    </row>
    <row r="20" spans="1:6" ht="27.95" customHeight="1">
      <c r="A20" s="82" t="s">
        <v>1667</v>
      </c>
      <c r="B20" s="84" t="s">
        <v>603</v>
      </c>
      <c r="C20" s="82" t="s">
        <v>1668</v>
      </c>
      <c r="D20" s="83" t="s">
        <v>605</v>
      </c>
      <c r="E20" s="82" t="s">
        <v>1669</v>
      </c>
      <c r="F20" s="82" t="s">
        <v>1670</v>
      </c>
    </row>
    <row r="21" spans="1:6" ht="27.95" customHeight="1">
      <c r="A21" s="82" t="s">
        <v>1671</v>
      </c>
      <c r="B21" s="85" t="s">
        <v>619</v>
      </c>
      <c r="C21" s="82" t="s">
        <v>650</v>
      </c>
      <c r="D21" s="83" t="s">
        <v>605</v>
      </c>
      <c r="E21" s="82" t="s">
        <v>651</v>
      </c>
      <c r="F21" s="82" t="s">
        <v>607</v>
      </c>
    </row>
    <row r="22" spans="1:6" ht="27.95" customHeight="1">
      <c r="A22" s="82" t="s">
        <v>1672</v>
      </c>
      <c r="B22" s="84" t="s">
        <v>603</v>
      </c>
      <c r="C22" s="82" t="s">
        <v>1673</v>
      </c>
      <c r="D22" s="83" t="s">
        <v>605</v>
      </c>
      <c r="E22" s="82" t="s">
        <v>610</v>
      </c>
      <c r="F22" s="82" t="s">
        <v>1514</v>
      </c>
    </row>
    <row r="23" spans="1:6" ht="27.95" customHeight="1">
      <c r="A23" s="82" t="s">
        <v>1674</v>
      </c>
      <c r="B23" s="85" t="s">
        <v>619</v>
      </c>
      <c r="C23" s="82" t="s">
        <v>650</v>
      </c>
      <c r="D23" s="83" t="s">
        <v>605</v>
      </c>
      <c r="E23" s="82" t="s">
        <v>651</v>
      </c>
      <c r="F23" s="82" t="s">
        <v>607</v>
      </c>
    </row>
    <row r="24" spans="1:6" ht="27.95" customHeight="1">
      <c r="A24" s="82" t="s">
        <v>1675</v>
      </c>
      <c r="B24" s="84" t="s">
        <v>603</v>
      </c>
      <c r="C24" s="82" t="s">
        <v>727</v>
      </c>
      <c r="D24" s="83" t="s">
        <v>605</v>
      </c>
      <c r="E24" s="82" t="s">
        <v>613</v>
      </c>
      <c r="F24" s="82" t="s">
        <v>607</v>
      </c>
    </row>
    <row r="25" spans="1:6" ht="27.95" customHeight="1">
      <c r="A25" s="82" t="s">
        <v>1676</v>
      </c>
      <c r="B25" s="85" t="s">
        <v>619</v>
      </c>
      <c r="C25" s="82" t="s">
        <v>650</v>
      </c>
      <c r="D25" s="83" t="s">
        <v>605</v>
      </c>
      <c r="E25" s="82" t="s">
        <v>651</v>
      </c>
      <c r="F25" s="82" t="s">
        <v>607</v>
      </c>
    </row>
    <row r="26" spans="1:6" ht="27.95" customHeight="1">
      <c r="A26" s="82" t="s">
        <v>1677</v>
      </c>
      <c r="B26" s="85" t="s">
        <v>619</v>
      </c>
      <c r="C26" s="82" t="s">
        <v>650</v>
      </c>
      <c r="D26" s="83" t="s">
        <v>605</v>
      </c>
      <c r="E26" s="82" t="s">
        <v>651</v>
      </c>
      <c r="F26" s="82" t="s">
        <v>607</v>
      </c>
    </row>
    <row r="27" spans="1:6" ht="27.95" customHeight="1">
      <c r="A27" s="82" t="s">
        <v>1678</v>
      </c>
      <c r="B27" s="86" t="s">
        <v>615</v>
      </c>
      <c r="C27" s="82" t="s">
        <v>632</v>
      </c>
      <c r="D27" s="83" t="s">
        <v>605</v>
      </c>
      <c r="E27" s="82" t="s">
        <v>617</v>
      </c>
      <c r="F27" s="82" t="s">
        <v>607</v>
      </c>
    </row>
    <row r="28" spans="1:6" ht="27.95" customHeight="1">
      <c r="A28" s="82" t="s">
        <v>1679</v>
      </c>
      <c r="B28" s="84" t="s">
        <v>603</v>
      </c>
      <c r="C28" s="82" t="s">
        <v>1680</v>
      </c>
      <c r="D28" s="83" t="s">
        <v>605</v>
      </c>
      <c r="E28" s="82" t="s">
        <v>606</v>
      </c>
      <c r="F28" s="82" t="s">
        <v>1681</v>
      </c>
    </row>
    <row r="29" spans="1:6" ht="27.95" customHeight="1">
      <c r="A29" s="82" t="s">
        <v>545</v>
      </c>
      <c r="B29" s="84" t="s">
        <v>603</v>
      </c>
      <c r="C29" s="82" t="s">
        <v>1682</v>
      </c>
      <c r="D29" s="83" t="s">
        <v>605</v>
      </c>
      <c r="E29" s="82" t="s">
        <v>1683</v>
      </c>
      <c r="F29" s="82" t="s">
        <v>637</v>
      </c>
    </row>
    <row r="30" spans="1:6" ht="27.95" customHeight="1">
      <c r="A30" s="82" t="s">
        <v>1684</v>
      </c>
      <c r="B30" s="85" t="s">
        <v>619</v>
      </c>
      <c r="C30" s="82" t="s">
        <v>650</v>
      </c>
      <c r="D30" s="83" t="s">
        <v>605</v>
      </c>
      <c r="E30" s="82" t="s">
        <v>651</v>
      </c>
      <c r="F30" s="82" t="s">
        <v>607</v>
      </c>
    </row>
    <row r="31" spans="1:6" ht="27.95" customHeight="1">
      <c r="A31" s="82" t="s">
        <v>110</v>
      </c>
      <c r="B31" s="84" t="s">
        <v>603</v>
      </c>
      <c r="C31" s="82" t="s">
        <v>1685</v>
      </c>
      <c r="D31" s="83" t="s">
        <v>605</v>
      </c>
      <c r="E31" s="82" t="s">
        <v>610</v>
      </c>
      <c r="F31" s="82" t="s">
        <v>1021</v>
      </c>
    </row>
    <row r="32" spans="1:6" ht="27.95" customHeight="1">
      <c r="A32" s="82" t="s">
        <v>1686</v>
      </c>
      <c r="B32" s="85" t="s">
        <v>619</v>
      </c>
      <c r="C32" s="82" t="s">
        <v>1687</v>
      </c>
      <c r="D32" s="83" t="s">
        <v>605</v>
      </c>
      <c r="E32" s="82" t="s">
        <v>1688</v>
      </c>
      <c r="F32" s="82" t="s">
        <v>607</v>
      </c>
    </row>
    <row r="33" spans="1:6" ht="27.95" customHeight="1">
      <c r="A33" s="82" t="s">
        <v>1689</v>
      </c>
      <c r="B33" s="85" t="s">
        <v>619</v>
      </c>
      <c r="C33" s="82" t="s">
        <v>888</v>
      </c>
      <c r="D33" s="83" t="s">
        <v>605</v>
      </c>
      <c r="E33" s="82" t="s">
        <v>620</v>
      </c>
      <c r="F33" s="82" t="s">
        <v>607</v>
      </c>
    </row>
    <row r="34" spans="1:6" ht="27.95" customHeight="1">
      <c r="A34" s="82" t="s">
        <v>1690</v>
      </c>
      <c r="B34" s="85" t="s">
        <v>619</v>
      </c>
      <c r="C34" s="82" t="s">
        <v>650</v>
      </c>
      <c r="D34" s="83" t="s">
        <v>605</v>
      </c>
      <c r="E34" s="82" t="s">
        <v>651</v>
      </c>
      <c r="F34" s="82" t="s">
        <v>607</v>
      </c>
    </row>
    <row r="35" spans="1:6" ht="27.95" customHeight="1">
      <c r="A35" s="82" t="s">
        <v>111</v>
      </c>
      <c r="B35" s="84" t="s">
        <v>603</v>
      </c>
      <c r="C35" s="82" t="s">
        <v>843</v>
      </c>
      <c r="D35" s="83" t="s">
        <v>605</v>
      </c>
      <c r="E35" s="82" t="s">
        <v>610</v>
      </c>
      <c r="F35" s="82" t="s">
        <v>1431</v>
      </c>
    </row>
    <row r="36" spans="1:6" ht="27.95" customHeight="1">
      <c r="A36" s="82" t="s">
        <v>1691</v>
      </c>
      <c r="B36" s="84" t="s">
        <v>603</v>
      </c>
      <c r="C36" s="82" t="s">
        <v>609</v>
      </c>
      <c r="D36" s="83" t="s">
        <v>605</v>
      </c>
      <c r="E36" s="82" t="s">
        <v>911</v>
      </c>
      <c r="F36" s="82" t="s">
        <v>607</v>
      </c>
    </row>
    <row r="37" spans="1:6" ht="27.95" customHeight="1">
      <c r="A37" s="82" t="s">
        <v>1692</v>
      </c>
      <c r="B37" s="85" t="s">
        <v>619</v>
      </c>
      <c r="C37" s="82" t="s">
        <v>650</v>
      </c>
      <c r="D37" s="83" t="s">
        <v>605</v>
      </c>
      <c r="E37" s="82" t="s">
        <v>651</v>
      </c>
      <c r="F37" s="82" t="s">
        <v>607</v>
      </c>
    </row>
    <row r="38" spans="1:6" ht="27.95" customHeight="1">
      <c r="A38" s="82" t="s">
        <v>1693</v>
      </c>
      <c r="B38" s="85" t="s">
        <v>619</v>
      </c>
      <c r="C38" s="82" t="s">
        <v>650</v>
      </c>
      <c r="D38" s="83" t="s">
        <v>605</v>
      </c>
      <c r="E38" s="82" t="s">
        <v>651</v>
      </c>
      <c r="F38" s="82" t="s">
        <v>607</v>
      </c>
    </row>
    <row r="39" spans="1:6" ht="27.95" customHeight="1">
      <c r="A39" s="82" t="s">
        <v>1694</v>
      </c>
      <c r="B39" s="85" t="s">
        <v>619</v>
      </c>
      <c r="C39" s="82" t="s">
        <v>650</v>
      </c>
      <c r="D39" s="83" t="s">
        <v>605</v>
      </c>
      <c r="E39" s="82" t="s">
        <v>651</v>
      </c>
      <c r="F39" s="82" t="s">
        <v>607</v>
      </c>
    </row>
    <row r="40" spans="1:6" ht="27.95" customHeight="1">
      <c r="A40" s="82" t="s">
        <v>1695</v>
      </c>
      <c r="B40" s="85" t="s">
        <v>619</v>
      </c>
      <c r="C40" s="82" t="s">
        <v>1696</v>
      </c>
      <c r="D40" s="83" t="s">
        <v>605</v>
      </c>
      <c r="E40" s="82" t="s">
        <v>1697</v>
      </c>
      <c r="F40" s="82" t="s">
        <v>691</v>
      </c>
    </row>
    <row r="41" spans="1:6" ht="27.95" customHeight="1">
      <c r="A41" s="82" t="s">
        <v>1698</v>
      </c>
      <c r="B41" s="84" t="s">
        <v>603</v>
      </c>
      <c r="C41" s="82" t="s">
        <v>1699</v>
      </c>
      <c r="D41" s="83" t="s">
        <v>605</v>
      </c>
      <c r="E41" s="82" t="s">
        <v>606</v>
      </c>
      <c r="F41" s="82" t="s">
        <v>1514</v>
      </c>
    </row>
    <row r="42" spans="1:6" ht="27.95" customHeight="1">
      <c r="A42" s="82" t="s">
        <v>1700</v>
      </c>
      <c r="B42" s="84" t="s">
        <v>603</v>
      </c>
      <c r="C42" s="82" t="s">
        <v>1701</v>
      </c>
      <c r="D42" s="83" t="s">
        <v>605</v>
      </c>
      <c r="E42" s="82" t="s">
        <v>610</v>
      </c>
      <c r="F42" s="82" t="s">
        <v>1385</v>
      </c>
    </row>
    <row r="43" spans="1:6" ht="27.95" customHeight="1">
      <c r="A43" s="82" t="s">
        <v>1702</v>
      </c>
      <c r="B43" s="84" t="s">
        <v>603</v>
      </c>
      <c r="C43" s="82" t="s">
        <v>1703</v>
      </c>
      <c r="D43" s="83" t="s">
        <v>605</v>
      </c>
      <c r="E43" s="82" t="s">
        <v>905</v>
      </c>
      <c r="F43" s="82" t="s">
        <v>637</v>
      </c>
    </row>
    <row r="44" spans="1:6" ht="27.95" customHeight="1">
      <c r="A44" s="82" t="s">
        <v>1704</v>
      </c>
      <c r="B44" s="85" t="s">
        <v>619</v>
      </c>
      <c r="C44" s="82" t="s">
        <v>650</v>
      </c>
      <c r="D44" s="83" t="s">
        <v>605</v>
      </c>
      <c r="E44" s="82" t="s">
        <v>651</v>
      </c>
      <c r="F44" s="82" t="s">
        <v>607</v>
      </c>
    </row>
    <row r="45" spans="1:6" ht="27.95" customHeight="1">
      <c r="A45" s="82" t="s">
        <v>1705</v>
      </c>
      <c r="B45" s="85" t="s">
        <v>619</v>
      </c>
      <c r="C45" s="82" t="s">
        <v>330</v>
      </c>
      <c r="D45" s="83" t="s">
        <v>605</v>
      </c>
      <c r="E45" s="82" t="s">
        <v>620</v>
      </c>
      <c r="F45" s="82" t="s">
        <v>607</v>
      </c>
    </row>
    <row r="46" spans="1:6" ht="27.95" customHeight="1">
      <c r="A46" s="82" t="s">
        <v>1706</v>
      </c>
      <c r="B46" s="84" t="s">
        <v>603</v>
      </c>
      <c r="C46" s="90" t="s">
        <v>1707</v>
      </c>
      <c r="D46" s="91" t="s">
        <v>605</v>
      </c>
      <c r="E46" s="82" t="s">
        <v>606</v>
      </c>
      <c r="F46" s="82" t="s">
        <v>691</v>
      </c>
    </row>
    <row r="47" spans="1:6" ht="27.95" customHeight="1">
      <c r="A47" s="82" t="s">
        <v>1708</v>
      </c>
      <c r="B47" s="84" t="s">
        <v>603</v>
      </c>
      <c r="C47" s="90" t="s">
        <v>1709</v>
      </c>
      <c r="D47" s="91" t="s">
        <v>605</v>
      </c>
      <c r="E47" s="82" t="s">
        <v>1710</v>
      </c>
      <c r="F47" s="82" t="s">
        <v>1514</v>
      </c>
    </row>
    <row r="48" spans="1:6" ht="27.95" customHeight="1">
      <c r="A48" s="82" t="s">
        <v>1711</v>
      </c>
      <c r="B48" s="84" t="s">
        <v>603</v>
      </c>
      <c r="C48" s="90" t="s">
        <v>1712</v>
      </c>
      <c r="D48" s="91" t="s">
        <v>605</v>
      </c>
      <c r="E48" s="82" t="s">
        <v>1713</v>
      </c>
      <c r="F48" s="82" t="s">
        <v>1714</v>
      </c>
    </row>
    <row r="49" spans="1:6" ht="27.95" customHeight="1">
      <c r="A49" s="82" t="s">
        <v>1715</v>
      </c>
      <c r="B49" s="85" t="s">
        <v>619</v>
      </c>
      <c r="C49" s="90" t="s">
        <v>650</v>
      </c>
      <c r="D49" s="91" t="s">
        <v>605</v>
      </c>
      <c r="E49" s="82" t="s">
        <v>651</v>
      </c>
      <c r="F49" s="82" t="s">
        <v>607</v>
      </c>
    </row>
    <row r="50" spans="1:6" ht="27.95" customHeight="1">
      <c r="A50" s="82" t="s">
        <v>1716</v>
      </c>
      <c r="B50" s="84" t="s">
        <v>603</v>
      </c>
      <c r="C50" s="90" t="s">
        <v>1717</v>
      </c>
      <c r="D50" s="91" t="s">
        <v>605</v>
      </c>
      <c r="E50" s="82" t="s">
        <v>606</v>
      </c>
      <c r="F50" s="82" t="s">
        <v>691</v>
      </c>
    </row>
    <row r="51" spans="1:6" ht="27.95" customHeight="1">
      <c r="A51" s="82" t="s">
        <v>1718</v>
      </c>
      <c r="B51" s="85" t="s">
        <v>619</v>
      </c>
      <c r="C51" s="90" t="s">
        <v>650</v>
      </c>
      <c r="D51" s="91" t="s">
        <v>605</v>
      </c>
      <c r="E51" s="82" t="s">
        <v>651</v>
      </c>
      <c r="F51" s="82" t="s">
        <v>607</v>
      </c>
    </row>
    <row r="52" spans="1:6" ht="27.95" customHeight="1">
      <c r="A52" s="82" t="s">
        <v>1719</v>
      </c>
      <c r="B52" s="84" t="s">
        <v>603</v>
      </c>
      <c r="C52" s="82" t="s">
        <v>793</v>
      </c>
      <c r="D52" s="83" t="s">
        <v>605</v>
      </c>
      <c r="E52" s="82" t="s">
        <v>610</v>
      </c>
      <c r="F52" s="82" t="s">
        <v>607</v>
      </c>
    </row>
    <row r="53" spans="1:6" ht="27.95" customHeight="1">
      <c r="A53" s="82" t="s">
        <v>1720</v>
      </c>
      <c r="B53" s="85" t="s">
        <v>619</v>
      </c>
      <c r="C53" s="82" t="s">
        <v>650</v>
      </c>
      <c r="D53" s="83" t="s">
        <v>605</v>
      </c>
      <c r="E53" s="82" t="s">
        <v>651</v>
      </c>
      <c r="F53" s="82" t="s">
        <v>607</v>
      </c>
    </row>
    <row r="54" spans="1:6" ht="27.95" customHeight="1">
      <c r="A54" s="82" t="s">
        <v>1721</v>
      </c>
      <c r="B54" s="85" t="s">
        <v>619</v>
      </c>
      <c r="C54" s="93" t="s">
        <v>888</v>
      </c>
      <c r="D54" s="83" t="s">
        <v>605</v>
      </c>
      <c r="E54" s="82" t="s">
        <v>620</v>
      </c>
      <c r="F54" s="82" t="s">
        <v>607</v>
      </c>
    </row>
    <row r="55" spans="1:6" ht="27.95" customHeight="1">
      <c r="A55" s="82" t="s">
        <v>1722</v>
      </c>
      <c r="B55" s="84" t="s">
        <v>603</v>
      </c>
      <c r="C55" s="93" t="s">
        <v>1645</v>
      </c>
      <c r="D55" s="83" t="s">
        <v>605</v>
      </c>
      <c r="E55" s="82" t="s">
        <v>610</v>
      </c>
      <c r="F55" s="82" t="s">
        <v>747</v>
      </c>
    </row>
    <row r="56" spans="1:6" ht="27.95" customHeight="1">
      <c r="A56" s="82" t="s">
        <v>1723</v>
      </c>
      <c r="B56" s="85" t="s">
        <v>619</v>
      </c>
      <c r="C56" s="82" t="s">
        <v>843</v>
      </c>
      <c r="D56" s="83" t="s">
        <v>605</v>
      </c>
      <c r="E56" s="82" t="s">
        <v>620</v>
      </c>
      <c r="F56" s="82" t="s">
        <v>607</v>
      </c>
    </row>
    <row r="57" spans="1:6" ht="27.95" customHeight="1">
      <c r="A57" s="82" t="s">
        <v>1724</v>
      </c>
      <c r="B57" s="84" t="s">
        <v>603</v>
      </c>
      <c r="C57" s="93" t="s">
        <v>1725</v>
      </c>
      <c r="D57" s="83" t="s">
        <v>605</v>
      </c>
      <c r="E57" s="82" t="s">
        <v>610</v>
      </c>
      <c r="F57" s="82" t="s">
        <v>1726</v>
      </c>
    </row>
    <row r="58" spans="1:6" ht="27.95" customHeight="1">
      <c r="A58" s="82" t="s">
        <v>1727</v>
      </c>
      <c r="B58" s="85" t="s">
        <v>619</v>
      </c>
      <c r="C58" s="82" t="s">
        <v>1544</v>
      </c>
      <c r="D58" s="83" t="s">
        <v>605</v>
      </c>
      <c r="E58" s="82" t="s">
        <v>620</v>
      </c>
      <c r="F58" s="82" t="s">
        <v>607</v>
      </c>
    </row>
    <row r="59" spans="1:6" ht="27.95" customHeight="1">
      <c r="A59" s="82" t="s">
        <v>1728</v>
      </c>
      <c r="B59" s="84" t="s">
        <v>603</v>
      </c>
      <c r="C59" s="82" t="s">
        <v>1729</v>
      </c>
      <c r="D59" s="83" t="s">
        <v>605</v>
      </c>
      <c r="E59" s="82" t="s">
        <v>610</v>
      </c>
      <c r="F59" s="82" t="s">
        <v>1730</v>
      </c>
    </row>
    <row r="60" spans="1:6" ht="27.95" customHeight="1">
      <c r="A60" s="82" t="s">
        <v>1731</v>
      </c>
      <c r="B60" s="84" t="s">
        <v>603</v>
      </c>
      <c r="C60" s="82" t="s">
        <v>1732</v>
      </c>
      <c r="D60" s="83" t="s">
        <v>605</v>
      </c>
      <c r="E60" s="82" t="s">
        <v>674</v>
      </c>
      <c r="F60" s="82" t="s">
        <v>1733</v>
      </c>
    </row>
    <row r="61" spans="1:6" ht="27.95" customHeight="1">
      <c r="A61" s="82" t="s">
        <v>1734</v>
      </c>
      <c r="B61" s="85" t="s">
        <v>619</v>
      </c>
      <c r="C61" s="82" t="s">
        <v>650</v>
      </c>
      <c r="D61" s="83" t="s">
        <v>605</v>
      </c>
      <c r="E61" s="82" t="s">
        <v>651</v>
      </c>
      <c r="F61" s="82" t="s">
        <v>607</v>
      </c>
    </row>
    <row r="62" spans="1:6" ht="27.95" customHeight="1">
      <c r="A62" s="82" t="s">
        <v>1735</v>
      </c>
      <c r="B62" s="84" t="s">
        <v>603</v>
      </c>
      <c r="C62" s="82" t="s">
        <v>1666</v>
      </c>
      <c r="D62" s="83" t="s">
        <v>605</v>
      </c>
      <c r="E62" s="82" t="s">
        <v>1111</v>
      </c>
      <c r="F62" s="82" t="s">
        <v>607</v>
      </c>
    </row>
    <row r="63" spans="1:6" ht="27.95" customHeight="1">
      <c r="A63" s="82" t="s">
        <v>1736</v>
      </c>
      <c r="B63" s="85" t="s">
        <v>619</v>
      </c>
      <c r="C63" s="82" t="s">
        <v>1737</v>
      </c>
      <c r="D63" s="83" t="s">
        <v>605</v>
      </c>
      <c r="E63" s="82" t="s">
        <v>620</v>
      </c>
      <c r="F63" s="82" t="s">
        <v>607</v>
      </c>
    </row>
    <row r="64" spans="1:6" ht="27.95" customHeight="1">
      <c r="A64" s="82" t="s">
        <v>1738</v>
      </c>
      <c r="B64" s="85" t="s">
        <v>619</v>
      </c>
      <c r="C64" s="82" t="s">
        <v>650</v>
      </c>
      <c r="D64" s="83" t="s">
        <v>605</v>
      </c>
      <c r="E64" s="82" t="s">
        <v>651</v>
      </c>
      <c r="F64" s="82" t="s">
        <v>607</v>
      </c>
    </row>
    <row r="65" spans="1:6" ht="27.95" customHeight="1">
      <c r="A65" s="82" t="s">
        <v>1739</v>
      </c>
      <c r="B65" s="85" t="s">
        <v>619</v>
      </c>
      <c r="C65" s="82" t="s">
        <v>888</v>
      </c>
      <c r="D65" s="83" t="s">
        <v>605</v>
      </c>
      <c r="E65" s="82" t="s">
        <v>620</v>
      </c>
      <c r="F65" s="82" t="s">
        <v>607</v>
      </c>
    </row>
    <row r="66" spans="1:6" ht="27.95" customHeight="1">
      <c r="A66" s="82" t="s">
        <v>1740</v>
      </c>
      <c r="B66" s="84" t="s">
        <v>603</v>
      </c>
      <c r="C66" s="82" t="s">
        <v>1741</v>
      </c>
      <c r="D66" s="83" t="s">
        <v>605</v>
      </c>
      <c r="E66" s="82" t="s">
        <v>606</v>
      </c>
      <c r="F66" s="82" t="s">
        <v>1742</v>
      </c>
    </row>
    <row r="67" spans="1:6" ht="27.95" customHeight="1">
      <c r="A67" s="82" t="s">
        <v>1743</v>
      </c>
      <c r="B67" s="84" t="s">
        <v>603</v>
      </c>
      <c r="C67" s="93" t="s">
        <v>1744</v>
      </c>
      <c r="D67" s="83" t="s">
        <v>605</v>
      </c>
      <c r="E67" s="82" t="s">
        <v>610</v>
      </c>
      <c r="F67" s="82" t="s">
        <v>1627</v>
      </c>
    </row>
    <row r="68" spans="1:6" ht="27.95" customHeight="1">
      <c r="A68" s="82" t="s">
        <v>1745</v>
      </c>
      <c r="B68" s="85" t="s">
        <v>619</v>
      </c>
      <c r="C68" s="82" t="s">
        <v>1746</v>
      </c>
      <c r="D68" s="83" t="s">
        <v>605</v>
      </c>
      <c r="E68" s="82" t="s">
        <v>620</v>
      </c>
      <c r="F68" s="82" t="s">
        <v>1385</v>
      </c>
    </row>
    <row r="69" spans="1:6" ht="27.95" customHeight="1">
      <c r="A69" s="82" t="s">
        <v>1747</v>
      </c>
      <c r="B69" s="85" t="s">
        <v>619</v>
      </c>
      <c r="C69" s="93" t="s">
        <v>650</v>
      </c>
      <c r="D69" s="83" t="s">
        <v>605</v>
      </c>
      <c r="E69" s="82" t="s">
        <v>651</v>
      </c>
      <c r="F69" s="82" t="s">
        <v>607</v>
      </c>
    </row>
    <row r="71" spans="1:6" ht="15">
      <c r="C71" s="88" t="s">
        <v>633</v>
      </c>
      <c r="D71" s="89" t="str">
        <f>COUNTIF(D2:D69,"☑")&amp;" / "&amp;COUNTA(A2:A69)</f>
        <v>0 / 68</v>
      </c>
    </row>
  </sheetData>
  <conditionalFormatting sqref="B2:B44">
    <cfRule type="expression" dxfId="95" priority="1">
      <formula>B2="A"</formula>
    </cfRule>
    <cfRule type="expression" dxfId="94" priority="2">
      <formula>B2="B"</formula>
    </cfRule>
    <cfRule type="expression" dxfId="93" priority="3">
      <formula>B2="C"</formula>
    </cfRule>
  </conditionalFormatting>
  <conditionalFormatting sqref="D2:D67">
    <cfRule type="expression" dxfId="92" priority="4">
      <formula>D2="☑"</formula>
    </cfRule>
  </conditionalFormatting>
  <conditionalFormatting sqref="D2:D69">
    <cfRule type="expression" dxfId="91" priority="18">
      <formula>D2="☑"</formula>
    </cfRule>
  </conditionalFormatting>
  <dataValidations count="1">
    <dataValidation type="list" sqref="D2:D69" xr:uid="{00000000-0002-0000-1300-000000000000}">
      <formula1>"☐,☑"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7"/>
  <sheetViews>
    <sheetView workbookViewId="0"/>
  </sheetViews>
  <sheetFormatPr defaultRowHeight="14.25"/>
  <cols>
    <col min="1" max="1" width="34" customWidth="1"/>
    <col min="2" max="2" width="10" customWidth="1"/>
    <col min="3" max="3" width="44" customWidth="1"/>
    <col min="4" max="4" width="12" customWidth="1"/>
    <col min="5" max="5" width="42" customWidth="1"/>
    <col min="6" max="6" width="58" customWidth="1"/>
  </cols>
  <sheetData>
    <row r="1" spans="1:6" ht="21.95" customHeight="1">
      <c r="A1" s="57" t="s">
        <v>598</v>
      </c>
      <c r="B1" s="57" t="s">
        <v>599</v>
      </c>
      <c r="C1" s="57" t="s">
        <v>13</v>
      </c>
      <c r="D1" s="57" t="s">
        <v>3</v>
      </c>
      <c r="E1" s="57" t="s">
        <v>600</v>
      </c>
      <c r="F1" s="57" t="s">
        <v>601</v>
      </c>
    </row>
    <row r="2" spans="1:6" ht="26.1" customHeight="1">
      <c r="A2" s="58" t="s">
        <v>1748</v>
      </c>
      <c r="B2" s="62" t="s">
        <v>615</v>
      </c>
      <c r="C2" s="58" t="s">
        <v>632</v>
      </c>
      <c r="D2" s="59" t="s">
        <v>605</v>
      </c>
      <c r="E2" s="58" t="s">
        <v>617</v>
      </c>
      <c r="F2" s="58" t="s">
        <v>607</v>
      </c>
    </row>
    <row r="3" spans="1:6" ht="26.1" customHeight="1">
      <c r="A3" s="58" t="s">
        <v>1749</v>
      </c>
      <c r="B3" s="60" t="s">
        <v>603</v>
      </c>
      <c r="C3" s="58" t="s">
        <v>1750</v>
      </c>
      <c r="D3" s="59" t="s">
        <v>605</v>
      </c>
      <c r="E3" s="58" t="s">
        <v>606</v>
      </c>
      <c r="F3" s="58" t="s">
        <v>691</v>
      </c>
    </row>
    <row r="4" spans="1:6" ht="26.1" customHeight="1">
      <c r="A4" s="58" t="s">
        <v>1751</v>
      </c>
      <c r="B4" s="61" t="s">
        <v>619</v>
      </c>
      <c r="C4" s="58" t="s">
        <v>650</v>
      </c>
      <c r="D4" s="59" t="s">
        <v>605</v>
      </c>
      <c r="E4" s="58" t="s">
        <v>651</v>
      </c>
      <c r="F4" s="58" t="s">
        <v>607</v>
      </c>
    </row>
    <row r="5" spans="1:6" ht="26.1" customHeight="1">
      <c r="A5" s="58" t="s">
        <v>1752</v>
      </c>
      <c r="B5" s="60" t="s">
        <v>603</v>
      </c>
      <c r="C5" s="58" t="s">
        <v>1753</v>
      </c>
      <c r="D5" s="59" t="s">
        <v>605</v>
      </c>
      <c r="E5" s="58" t="s">
        <v>1754</v>
      </c>
      <c r="F5" s="58" t="s">
        <v>637</v>
      </c>
    </row>
    <row r="6" spans="1:6" ht="26.1" customHeight="1">
      <c r="A6" s="58" t="s">
        <v>1755</v>
      </c>
      <c r="B6" s="61" t="s">
        <v>619</v>
      </c>
      <c r="C6" s="58" t="s">
        <v>650</v>
      </c>
      <c r="D6" s="59" t="s">
        <v>605</v>
      </c>
      <c r="E6" s="58" t="s">
        <v>651</v>
      </c>
      <c r="F6" s="58" t="s">
        <v>607</v>
      </c>
    </row>
    <row r="7" spans="1:6" ht="26.1" customHeight="1">
      <c r="A7" s="58" t="s">
        <v>1756</v>
      </c>
      <c r="B7" s="61" t="s">
        <v>619</v>
      </c>
      <c r="C7" s="58" t="s">
        <v>650</v>
      </c>
      <c r="D7" s="59" t="s">
        <v>605</v>
      </c>
      <c r="E7" s="58" t="s">
        <v>651</v>
      </c>
      <c r="F7" s="58" t="s">
        <v>607</v>
      </c>
    </row>
    <row r="8" spans="1:6" ht="26.1" customHeight="1">
      <c r="A8" s="58" t="s">
        <v>1757</v>
      </c>
      <c r="B8" s="61" t="s">
        <v>619</v>
      </c>
      <c r="C8" s="58" t="s">
        <v>650</v>
      </c>
      <c r="D8" s="59" t="s">
        <v>605</v>
      </c>
      <c r="E8" s="58" t="s">
        <v>651</v>
      </c>
      <c r="F8" s="58" t="s">
        <v>607</v>
      </c>
    </row>
    <row r="9" spans="1:6" ht="26.1" customHeight="1">
      <c r="A9" s="58" t="s">
        <v>1758</v>
      </c>
      <c r="B9" s="60" t="s">
        <v>603</v>
      </c>
      <c r="C9" s="58" t="s">
        <v>1759</v>
      </c>
      <c r="D9" s="59" t="s">
        <v>605</v>
      </c>
      <c r="E9" s="58" t="s">
        <v>610</v>
      </c>
      <c r="F9" s="58" t="s">
        <v>747</v>
      </c>
    </row>
    <row r="10" spans="1:6" ht="26.1" customHeight="1">
      <c r="A10" s="58" t="s">
        <v>1760</v>
      </c>
      <c r="B10" s="61" t="s">
        <v>619</v>
      </c>
      <c r="C10" s="58" t="s">
        <v>1761</v>
      </c>
      <c r="D10" s="59" t="s">
        <v>605</v>
      </c>
      <c r="E10" s="58" t="s">
        <v>620</v>
      </c>
      <c r="F10" s="58" t="s">
        <v>607</v>
      </c>
    </row>
    <row r="11" spans="1:6" ht="26.1" customHeight="1">
      <c r="A11" s="58" t="s">
        <v>1762</v>
      </c>
      <c r="B11" s="60" t="s">
        <v>603</v>
      </c>
      <c r="C11" s="58" t="s">
        <v>1763</v>
      </c>
      <c r="D11" s="59" t="s">
        <v>605</v>
      </c>
      <c r="E11" s="58" t="s">
        <v>1230</v>
      </c>
      <c r="F11" s="58" t="s">
        <v>691</v>
      </c>
    </row>
    <row r="12" spans="1:6" ht="26.1" customHeight="1">
      <c r="A12" s="58" t="s">
        <v>1764</v>
      </c>
      <c r="B12" s="61" t="s">
        <v>619</v>
      </c>
      <c r="C12" s="58" t="s">
        <v>650</v>
      </c>
      <c r="D12" s="59" t="s">
        <v>605</v>
      </c>
      <c r="E12" s="58" t="s">
        <v>651</v>
      </c>
      <c r="F12" s="58" t="s">
        <v>607</v>
      </c>
    </row>
    <row r="13" spans="1:6" ht="26.1" customHeight="1">
      <c r="A13" s="58" t="s">
        <v>1765</v>
      </c>
      <c r="B13" s="60" t="s">
        <v>603</v>
      </c>
      <c r="C13" s="58" t="s">
        <v>1766</v>
      </c>
      <c r="D13" s="59" t="s">
        <v>605</v>
      </c>
      <c r="E13" s="58" t="s">
        <v>610</v>
      </c>
      <c r="F13" s="58" t="s">
        <v>691</v>
      </c>
    </row>
    <row r="14" spans="1:6" ht="26.1" customHeight="1">
      <c r="A14" s="58" t="s">
        <v>76</v>
      </c>
      <c r="B14" s="62" t="s">
        <v>615</v>
      </c>
      <c r="C14" s="58" t="s">
        <v>1767</v>
      </c>
      <c r="D14" s="59" t="s">
        <v>605</v>
      </c>
      <c r="E14" s="58" t="s">
        <v>617</v>
      </c>
      <c r="F14" s="58" t="s">
        <v>1431</v>
      </c>
    </row>
    <row r="15" spans="1:6" ht="26.1" customHeight="1">
      <c r="A15" s="58" t="s">
        <v>1768</v>
      </c>
      <c r="B15" s="60" t="s">
        <v>603</v>
      </c>
      <c r="C15" s="58" t="s">
        <v>1769</v>
      </c>
      <c r="D15" s="59" t="s">
        <v>605</v>
      </c>
      <c r="E15" s="58" t="s">
        <v>610</v>
      </c>
      <c r="F15" s="58" t="s">
        <v>1681</v>
      </c>
    </row>
    <row r="16" spans="1:6" ht="26.1" customHeight="1">
      <c r="A16" s="58" t="s">
        <v>1770</v>
      </c>
      <c r="B16" s="61" t="s">
        <v>619</v>
      </c>
      <c r="C16" s="58" t="s">
        <v>650</v>
      </c>
      <c r="D16" s="59" t="s">
        <v>605</v>
      </c>
      <c r="E16" s="58" t="s">
        <v>651</v>
      </c>
      <c r="F16" s="58" t="s">
        <v>607</v>
      </c>
    </row>
    <row r="17" spans="1:6" ht="26.1" customHeight="1">
      <c r="A17" s="58" t="s">
        <v>1771</v>
      </c>
      <c r="B17" s="61" t="s">
        <v>619</v>
      </c>
      <c r="C17" s="58" t="s">
        <v>650</v>
      </c>
      <c r="D17" s="59" t="s">
        <v>605</v>
      </c>
      <c r="E17" s="58" t="s">
        <v>651</v>
      </c>
      <c r="F17" s="58" t="s">
        <v>607</v>
      </c>
    </row>
    <row r="18" spans="1:6" ht="26.1" customHeight="1">
      <c r="A18" s="58" t="s">
        <v>1772</v>
      </c>
      <c r="B18" s="61" t="s">
        <v>619</v>
      </c>
      <c r="C18" s="58" t="s">
        <v>888</v>
      </c>
      <c r="D18" s="59" t="s">
        <v>605</v>
      </c>
      <c r="E18" s="58" t="s">
        <v>620</v>
      </c>
      <c r="F18" s="58" t="s">
        <v>607</v>
      </c>
    </row>
    <row r="19" spans="1:6" ht="26.1" customHeight="1">
      <c r="A19" s="58" t="s">
        <v>1773</v>
      </c>
      <c r="B19" s="61" t="s">
        <v>619</v>
      </c>
      <c r="C19" s="58" t="s">
        <v>650</v>
      </c>
      <c r="D19" s="59" t="s">
        <v>605</v>
      </c>
      <c r="E19" s="58" t="s">
        <v>651</v>
      </c>
      <c r="F19" s="58" t="s">
        <v>607</v>
      </c>
    </row>
    <row r="20" spans="1:6" ht="26.1" customHeight="1">
      <c r="A20" s="58" t="s">
        <v>1774</v>
      </c>
      <c r="B20" s="61" t="s">
        <v>619</v>
      </c>
      <c r="C20" s="58" t="s">
        <v>650</v>
      </c>
      <c r="D20" s="59" t="s">
        <v>605</v>
      </c>
      <c r="E20" s="58" t="s">
        <v>651</v>
      </c>
      <c r="F20" s="58" t="s">
        <v>607</v>
      </c>
    </row>
    <row r="21" spans="1:6" ht="26.1" customHeight="1">
      <c r="A21" s="58" t="s">
        <v>1775</v>
      </c>
      <c r="B21" s="60" t="s">
        <v>603</v>
      </c>
      <c r="C21" s="58" t="s">
        <v>888</v>
      </c>
      <c r="D21" s="59" t="s">
        <v>605</v>
      </c>
      <c r="E21" s="58" t="s">
        <v>606</v>
      </c>
      <c r="F21" s="58" t="s">
        <v>607</v>
      </c>
    </row>
    <row r="22" spans="1:6" ht="26.1" customHeight="1">
      <c r="A22" s="58" t="s">
        <v>1776</v>
      </c>
      <c r="B22" s="60" t="s">
        <v>603</v>
      </c>
      <c r="C22" s="58" t="s">
        <v>1219</v>
      </c>
      <c r="D22" s="59" t="s">
        <v>605</v>
      </c>
      <c r="E22" s="58" t="s">
        <v>610</v>
      </c>
      <c r="F22" s="58" t="s">
        <v>607</v>
      </c>
    </row>
    <row r="23" spans="1:6" ht="26.1" customHeight="1">
      <c r="A23" s="58" t="s">
        <v>1777</v>
      </c>
      <c r="B23" s="61" t="s">
        <v>619</v>
      </c>
      <c r="C23" s="58" t="s">
        <v>1494</v>
      </c>
      <c r="D23" s="59" t="s">
        <v>605</v>
      </c>
      <c r="E23" s="58" t="s">
        <v>876</v>
      </c>
      <c r="F23" s="58" t="s">
        <v>607</v>
      </c>
    </row>
    <row r="24" spans="1:6" ht="26.1" customHeight="1">
      <c r="A24" s="58" t="s">
        <v>1778</v>
      </c>
      <c r="B24" s="60" t="s">
        <v>603</v>
      </c>
      <c r="C24" s="58" t="s">
        <v>1779</v>
      </c>
      <c r="D24" s="59" t="s">
        <v>605</v>
      </c>
      <c r="E24" s="58" t="s">
        <v>610</v>
      </c>
      <c r="F24" s="58" t="s">
        <v>691</v>
      </c>
    </row>
    <row r="25" spans="1:6" ht="26.1" customHeight="1">
      <c r="A25" s="58" t="s">
        <v>1780</v>
      </c>
      <c r="B25" s="60" t="s">
        <v>603</v>
      </c>
      <c r="C25" s="58" t="s">
        <v>1781</v>
      </c>
      <c r="D25" s="59" t="s">
        <v>605</v>
      </c>
      <c r="E25" s="58" t="s">
        <v>610</v>
      </c>
      <c r="F25" s="58" t="s">
        <v>870</v>
      </c>
    </row>
    <row r="26" spans="1:6" ht="26.1" customHeight="1">
      <c r="A26" s="58" t="s">
        <v>1782</v>
      </c>
      <c r="B26" s="60" t="s">
        <v>603</v>
      </c>
      <c r="C26" s="58" t="s">
        <v>1783</v>
      </c>
      <c r="D26" s="59" t="s">
        <v>605</v>
      </c>
      <c r="E26" s="58" t="s">
        <v>610</v>
      </c>
      <c r="F26" s="58" t="s">
        <v>607</v>
      </c>
    </row>
    <row r="27" spans="1:6" ht="26.1" customHeight="1">
      <c r="A27" s="58" t="s">
        <v>1784</v>
      </c>
      <c r="B27" s="61" t="s">
        <v>619</v>
      </c>
      <c r="C27" s="58" t="s">
        <v>1785</v>
      </c>
      <c r="D27" s="59" t="s">
        <v>605</v>
      </c>
      <c r="E27" s="58" t="s">
        <v>620</v>
      </c>
      <c r="F27" s="58" t="s">
        <v>691</v>
      </c>
    </row>
    <row r="28" spans="1:6" ht="26.1" customHeight="1">
      <c r="A28" s="58" t="s">
        <v>1786</v>
      </c>
      <c r="B28" s="61" t="s">
        <v>619</v>
      </c>
      <c r="C28" s="58" t="s">
        <v>650</v>
      </c>
      <c r="D28" s="59" t="s">
        <v>605</v>
      </c>
      <c r="E28" s="58" t="s">
        <v>651</v>
      </c>
      <c r="F28" s="58" t="s">
        <v>607</v>
      </c>
    </row>
    <row r="29" spans="1:6" ht="26.1" customHeight="1">
      <c r="A29" s="58" t="s">
        <v>1787</v>
      </c>
      <c r="B29" s="60" t="s">
        <v>603</v>
      </c>
      <c r="C29" s="58" t="s">
        <v>1788</v>
      </c>
      <c r="D29" s="59" t="s">
        <v>605</v>
      </c>
      <c r="E29" s="58" t="s">
        <v>1789</v>
      </c>
      <c r="F29" s="58" t="s">
        <v>637</v>
      </c>
    </row>
    <row r="30" spans="1:6" ht="26.1" customHeight="1">
      <c r="A30" s="58" t="s">
        <v>1790</v>
      </c>
      <c r="B30" s="61" t="s">
        <v>619</v>
      </c>
      <c r="C30" s="58" t="s">
        <v>650</v>
      </c>
      <c r="D30" s="59" t="s">
        <v>605</v>
      </c>
      <c r="E30" s="58" t="s">
        <v>651</v>
      </c>
      <c r="F30" s="58" t="s">
        <v>607</v>
      </c>
    </row>
    <row r="31" spans="1:6" ht="26.1" customHeight="1">
      <c r="A31" s="58" t="s">
        <v>1791</v>
      </c>
      <c r="B31" s="61" t="s">
        <v>619</v>
      </c>
      <c r="C31" s="58" t="s">
        <v>650</v>
      </c>
      <c r="D31" s="59" t="s">
        <v>605</v>
      </c>
      <c r="E31" s="58" t="s">
        <v>651</v>
      </c>
      <c r="F31" s="58" t="s">
        <v>607</v>
      </c>
    </row>
    <row r="32" spans="1:6" ht="26.1" customHeight="1">
      <c r="A32" s="58" t="s">
        <v>1792</v>
      </c>
      <c r="B32" s="62" t="s">
        <v>615</v>
      </c>
      <c r="C32" s="58" t="s">
        <v>1793</v>
      </c>
      <c r="D32" s="59" t="s">
        <v>605</v>
      </c>
      <c r="E32" s="58" t="s">
        <v>825</v>
      </c>
      <c r="F32" s="58" t="s">
        <v>1794</v>
      </c>
    </row>
    <row r="33" spans="1:6" ht="26.1" customHeight="1">
      <c r="A33" s="58" t="s">
        <v>1795</v>
      </c>
      <c r="B33" s="61" t="s">
        <v>619</v>
      </c>
      <c r="C33" s="58" t="s">
        <v>330</v>
      </c>
      <c r="D33" s="59" t="s">
        <v>605</v>
      </c>
      <c r="E33" s="58" t="s">
        <v>620</v>
      </c>
      <c r="F33" s="58" t="s">
        <v>607</v>
      </c>
    </row>
    <row r="34" spans="1:6" ht="26.1" customHeight="1">
      <c r="A34" s="58" t="s">
        <v>1796</v>
      </c>
      <c r="B34" s="60" t="s">
        <v>603</v>
      </c>
      <c r="C34" s="58" t="s">
        <v>1797</v>
      </c>
      <c r="D34" s="59" t="s">
        <v>605</v>
      </c>
      <c r="E34" s="58" t="s">
        <v>1697</v>
      </c>
      <c r="F34" s="58" t="s">
        <v>607</v>
      </c>
    </row>
    <row r="35" spans="1:6" ht="26.1" customHeight="1">
      <c r="A35" s="58" t="s">
        <v>1798</v>
      </c>
      <c r="B35" s="61" t="s">
        <v>619</v>
      </c>
      <c r="C35" s="58" t="s">
        <v>1799</v>
      </c>
      <c r="D35" s="59" t="s">
        <v>605</v>
      </c>
      <c r="E35" s="58" t="s">
        <v>620</v>
      </c>
      <c r="F35" s="58" t="s">
        <v>1627</v>
      </c>
    </row>
    <row r="36" spans="1:6" ht="26.1" customHeight="1">
      <c r="A36" s="58" t="s">
        <v>1800</v>
      </c>
      <c r="B36" s="61" t="s">
        <v>619</v>
      </c>
      <c r="C36" s="58" t="s">
        <v>650</v>
      </c>
      <c r="D36" s="59" t="s">
        <v>605</v>
      </c>
      <c r="E36" s="58" t="s">
        <v>651</v>
      </c>
      <c r="F36" s="58" t="s">
        <v>607</v>
      </c>
    </row>
    <row r="37" spans="1:6" ht="26.1" customHeight="1">
      <c r="A37" s="58" t="s">
        <v>1801</v>
      </c>
      <c r="B37" s="60" t="s">
        <v>603</v>
      </c>
      <c r="C37" s="58" t="s">
        <v>1802</v>
      </c>
      <c r="D37" s="59" t="s">
        <v>605</v>
      </c>
      <c r="E37" s="58" t="s">
        <v>606</v>
      </c>
      <c r="F37" s="58" t="s">
        <v>607</v>
      </c>
    </row>
    <row r="38" spans="1:6" ht="26.1" customHeight="1">
      <c r="A38" s="58" t="s">
        <v>1803</v>
      </c>
      <c r="B38" s="62" t="s">
        <v>615</v>
      </c>
      <c r="C38" s="58" t="s">
        <v>1804</v>
      </c>
      <c r="D38" s="59" t="s">
        <v>605</v>
      </c>
      <c r="E38" s="58" t="s">
        <v>915</v>
      </c>
      <c r="F38" s="58" t="s">
        <v>637</v>
      </c>
    </row>
    <row r="39" spans="1:6" ht="26.1" customHeight="1">
      <c r="A39" s="58" t="s">
        <v>1805</v>
      </c>
      <c r="B39" s="60" t="s">
        <v>603</v>
      </c>
      <c r="C39" s="64" t="s">
        <v>609</v>
      </c>
      <c r="D39" s="65" t="s">
        <v>605</v>
      </c>
      <c r="E39" s="58" t="s">
        <v>610</v>
      </c>
      <c r="F39" s="58" t="s">
        <v>607</v>
      </c>
    </row>
    <row r="40" spans="1:6" ht="26.1" customHeight="1">
      <c r="A40" s="58" t="s">
        <v>1806</v>
      </c>
      <c r="B40" s="61" t="s">
        <v>619</v>
      </c>
      <c r="C40" s="64" t="s">
        <v>650</v>
      </c>
      <c r="D40" s="65" t="s">
        <v>605</v>
      </c>
      <c r="E40" s="58" t="s">
        <v>651</v>
      </c>
      <c r="F40" s="58" t="s">
        <v>607</v>
      </c>
    </row>
    <row r="41" spans="1:6" ht="26.1" customHeight="1">
      <c r="A41" s="58" t="s">
        <v>1807</v>
      </c>
      <c r="B41" s="60" t="s">
        <v>603</v>
      </c>
      <c r="C41" s="64" t="s">
        <v>1808</v>
      </c>
      <c r="D41" s="65" t="s">
        <v>605</v>
      </c>
      <c r="E41" s="58" t="s">
        <v>610</v>
      </c>
      <c r="F41" s="58" t="s">
        <v>691</v>
      </c>
    </row>
    <row r="42" spans="1:6" ht="26.1" customHeight="1">
      <c r="A42" s="58" t="s">
        <v>1809</v>
      </c>
      <c r="B42" s="60" t="s">
        <v>603</v>
      </c>
      <c r="C42" s="64" t="s">
        <v>1645</v>
      </c>
      <c r="D42" s="65" t="s">
        <v>605</v>
      </c>
      <c r="E42" s="58" t="s">
        <v>610</v>
      </c>
      <c r="F42" s="58" t="s">
        <v>1681</v>
      </c>
    </row>
    <row r="43" spans="1:6" ht="26.1" customHeight="1">
      <c r="A43" s="58" t="s">
        <v>1810</v>
      </c>
      <c r="B43" s="61" t="s">
        <v>619</v>
      </c>
      <c r="C43" s="64" t="s">
        <v>650</v>
      </c>
      <c r="D43" s="65" t="s">
        <v>605</v>
      </c>
      <c r="E43" s="58" t="s">
        <v>651</v>
      </c>
      <c r="F43" s="58" t="s">
        <v>607</v>
      </c>
    </row>
    <row r="44" spans="1:6" ht="26.1" customHeight="1">
      <c r="A44" s="58" t="s">
        <v>1811</v>
      </c>
      <c r="B44" s="60" t="s">
        <v>603</v>
      </c>
      <c r="C44" s="64" t="s">
        <v>1812</v>
      </c>
      <c r="D44" s="65" t="s">
        <v>605</v>
      </c>
      <c r="E44" s="58" t="s">
        <v>610</v>
      </c>
      <c r="F44" s="58" t="s">
        <v>1813</v>
      </c>
    </row>
    <row r="45" spans="1:6" ht="26.1" customHeight="1">
      <c r="A45" s="58" t="s">
        <v>1814</v>
      </c>
      <c r="B45" s="61" t="s">
        <v>619</v>
      </c>
      <c r="C45" s="64" t="s">
        <v>650</v>
      </c>
      <c r="D45" s="65" t="s">
        <v>605</v>
      </c>
      <c r="E45" s="58" t="s">
        <v>651</v>
      </c>
      <c r="F45" s="58" t="s">
        <v>607</v>
      </c>
    </row>
    <row r="46" spans="1:6" ht="26.1" customHeight="1">
      <c r="A46" s="58" t="s">
        <v>1815</v>
      </c>
      <c r="B46" s="60" t="s">
        <v>603</v>
      </c>
      <c r="C46" s="64" t="s">
        <v>1816</v>
      </c>
      <c r="D46" s="65" t="s">
        <v>605</v>
      </c>
      <c r="E46" s="58" t="s">
        <v>610</v>
      </c>
      <c r="F46" s="58" t="s">
        <v>1385</v>
      </c>
    </row>
    <row r="47" spans="1:6" ht="26.1" customHeight="1">
      <c r="A47" s="58" t="s">
        <v>1817</v>
      </c>
      <c r="B47" s="60" t="s">
        <v>603</v>
      </c>
      <c r="C47" s="64" t="s">
        <v>1818</v>
      </c>
      <c r="D47" s="65" t="s">
        <v>605</v>
      </c>
      <c r="E47" s="58" t="s">
        <v>606</v>
      </c>
      <c r="F47" s="58" t="s">
        <v>691</v>
      </c>
    </row>
    <row r="48" spans="1:6" ht="26.1" customHeight="1">
      <c r="A48" s="58" t="s">
        <v>1819</v>
      </c>
      <c r="B48" s="60" t="s">
        <v>603</v>
      </c>
      <c r="C48" s="58" t="s">
        <v>650</v>
      </c>
      <c r="D48" s="59" t="s">
        <v>605</v>
      </c>
      <c r="E48" s="58" t="s">
        <v>688</v>
      </c>
      <c r="F48" s="58" t="s">
        <v>607</v>
      </c>
    </row>
    <row r="49" spans="1:6" ht="26.1" customHeight="1">
      <c r="A49" s="58" t="s">
        <v>1820</v>
      </c>
      <c r="B49" s="61" t="s">
        <v>619</v>
      </c>
      <c r="C49" s="67" t="s">
        <v>650</v>
      </c>
      <c r="D49" s="59" t="s">
        <v>605</v>
      </c>
      <c r="E49" s="58" t="s">
        <v>651</v>
      </c>
      <c r="F49" s="58" t="s">
        <v>607</v>
      </c>
    </row>
    <row r="50" spans="1:6" ht="26.1" customHeight="1">
      <c r="A50" s="58" t="s">
        <v>1821</v>
      </c>
      <c r="B50" s="60" t="s">
        <v>603</v>
      </c>
      <c r="C50" s="58" t="s">
        <v>1461</v>
      </c>
      <c r="D50" s="59" t="s">
        <v>605</v>
      </c>
      <c r="E50" s="58" t="s">
        <v>610</v>
      </c>
      <c r="F50" s="58" t="s">
        <v>607</v>
      </c>
    </row>
    <row r="51" spans="1:6" ht="26.1" customHeight="1">
      <c r="A51" s="58" t="s">
        <v>112</v>
      </c>
      <c r="B51" s="60" t="s">
        <v>603</v>
      </c>
      <c r="C51" s="58" t="s">
        <v>1822</v>
      </c>
      <c r="D51" s="59" t="s">
        <v>605</v>
      </c>
      <c r="E51" s="58" t="s">
        <v>610</v>
      </c>
      <c r="F51" s="58" t="s">
        <v>1823</v>
      </c>
    </row>
    <row r="52" spans="1:6" ht="26.1" customHeight="1">
      <c r="A52" s="58" t="s">
        <v>1824</v>
      </c>
      <c r="B52" s="60" t="s">
        <v>603</v>
      </c>
      <c r="C52" s="58" t="s">
        <v>650</v>
      </c>
      <c r="D52" s="59" t="s">
        <v>605</v>
      </c>
      <c r="E52" s="58" t="s">
        <v>688</v>
      </c>
      <c r="F52" s="58" t="s">
        <v>607</v>
      </c>
    </row>
    <row r="53" spans="1:6" ht="26.1" customHeight="1">
      <c r="A53" s="58" t="s">
        <v>1825</v>
      </c>
      <c r="B53" s="61" t="s">
        <v>619</v>
      </c>
      <c r="C53" s="67" t="s">
        <v>650</v>
      </c>
      <c r="D53" s="59" t="s">
        <v>605</v>
      </c>
      <c r="E53" s="58" t="s">
        <v>651</v>
      </c>
      <c r="F53" s="58" t="s">
        <v>607</v>
      </c>
    </row>
    <row r="54" spans="1:6" ht="26.1" customHeight="1">
      <c r="A54" s="58" t="s">
        <v>1826</v>
      </c>
      <c r="B54" s="61" t="s">
        <v>619</v>
      </c>
      <c r="C54" s="67" t="s">
        <v>650</v>
      </c>
      <c r="D54" s="59" t="s">
        <v>605</v>
      </c>
      <c r="E54" s="58" t="s">
        <v>651</v>
      </c>
      <c r="F54" s="58" t="s">
        <v>607</v>
      </c>
    </row>
    <row r="55" spans="1:6" ht="26.1" customHeight="1">
      <c r="A55" s="58" t="s">
        <v>1827</v>
      </c>
      <c r="B55" s="61" t="s">
        <v>619</v>
      </c>
      <c r="C55" s="58" t="s">
        <v>650</v>
      </c>
      <c r="D55" s="59" t="s">
        <v>605</v>
      </c>
      <c r="E55" s="58" t="s">
        <v>651</v>
      </c>
      <c r="F55" s="58" t="s">
        <v>607</v>
      </c>
    </row>
    <row r="57" spans="1:6" ht="15">
      <c r="C57" s="63" t="s">
        <v>633</v>
      </c>
      <c r="D57" s="63" t="str">
        <f>COUNTIF(D2:D55,"☑")&amp;" / "&amp;COUNTA(A2:A55)</f>
        <v>0 / 54</v>
      </c>
    </row>
  </sheetData>
  <conditionalFormatting sqref="B2:B37">
    <cfRule type="expression" dxfId="90" priority="1">
      <formula>B2="A"</formula>
    </cfRule>
    <cfRule type="expression" dxfId="89" priority="2">
      <formula>B2="B"</formula>
    </cfRule>
    <cfRule type="expression" dxfId="88" priority="3">
      <formula>B2="C"</formula>
    </cfRule>
  </conditionalFormatting>
  <conditionalFormatting sqref="D2:D55">
    <cfRule type="expression" dxfId="87" priority="4">
      <formula>D2="☑"</formula>
    </cfRule>
  </conditionalFormatting>
  <dataValidations count="1">
    <dataValidation type="list" sqref="D2:D55" xr:uid="{00000000-0002-0000-1400-000000000000}">
      <formula1>"☐,☑"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66"/>
  <sheetViews>
    <sheetView workbookViewId="0"/>
  </sheetViews>
  <sheetFormatPr defaultRowHeight="14.25"/>
  <cols>
    <col min="1" max="1" width="34" customWidth="1"/>
    <col min="2" max="2" width="10" customWidth="1"/>
    <col min="3" max="3" width="44" customWidth="1"/>
    <col min="4" max="4" width="12" customWidth="1"/>
    <col min="5" max="5" width="42" customWidth="1"/>
    <col min="6" max="6" width="58" customWidth="1"/>
  </cols>
  <sheetData>
    <row r="1" spans="1:6" ht="21.95" customHeight="1">
      <c r="A1" s="57" t="s">
        <v>598</v>
      </c>
      <c r="B1" s="57" t="s">
        <v>599</v>
      </c>
      <c r="C1" s="57" t="s">
        <v>13</v>
      </c>
      <c r="D1" s="57" t="s">
        <v>3</v>
      </c>
      <c r="E1" s="57" t="s">
        <v>600</v>
      </c>
      <c r="F1" s="57" t="s">
        <v>601</v>
      </c>
    </row>
    <row r="2" spans="1:6" ht="26.1" customHeight="1">
      <c r="A2" s="58" t="s">
        <v>54</v>
      </c>
      <c r="B2" s="60" t="s">
        <v>603</v>
      </c>
      <c r="C2" s="58" t="s">
        <v>1828</v>
      </c>
      <c r="D2" s="59" t="s">
        <v>605</v>
      </c>
      <c r="E2" s="58" t="s">
        <v>606</v>
      </c>
      <c r="F2" s="58" t="s">
        <v>691</v>
      </c>
    </row>
    <row r="3" spans="1:6" ht="26.1" customHeight="1">
      <c r="A3" s="58" t="s">
        <v>1829</v>
      </c>
      <c r="B3" s="60" t="s">
        <v>603</v>
      </c>
      <c r="C3" s="58" t="s">
        <v>911</v>
      </c>
      <c r="D3" s="59" t="s">
        <v>605</v>
      </c>
      <c r="E3" s="58" t="s">
        <v>911</v>
      </c>
      <c r="F3" s="58" t="s">
        <v>607</v>
      </c>
    </row>
    <row r="4" spans="1:6" ht="26.1" customHeight="1">
      <c r="A4" s="58" t="s">
        <v>1830</v>
      </c>
      <c r="B4" s="60" t="s">
        <v>603</v>
      </c>
      <c r="C4" s="58" t="s">
        <v>1802</v>
      </c>
      <c r="D4" s="59" t="s">
        <v>605</v>
      </c>
      <c r="E4" s="58" t="s">
        <v>804</v>
      </c>
      <c r="F4" s="58" t="s">
        <v>1831</v>
      </c>
    </row>
    <row r="5" spans="1:6" ht="26.1" customHeight="1">
      <c r="A5" s="58" t="s">
        <v>1832</v>
      </c>
      <c r="B5" s="61" t="s">
        <v>619</v>
      </c>
      <c r="C5" s="58" t="s">
        <v>650</v>
      </c>
      <c r="D5" s="59" t="s">
        <v>605</v>
      </c>
      <c r="E5" s="58" t="s">
        <v>651</v>
      </c>
      <c r="F5" s="58" t="s">
        <v>607</v>
      </c>
    </row>
    <row r="6" spans="1:6" ht="26.1" customHeight="1">
      <c r="A6" s="58" t="s">
        <v>1833</v>
      </c>
      <c r="B6" s="60" t="s">
        <v>603</v>
      </c>
      <c r="C6" s="58" t="s">
        <v>629</v>
      </c>
      <c r="D6" s="59" t="s">
        <v>605</v>
      </c>
      <c r="E6" s="58" t="s">
        <v>606</v>
      </c>
      <c r="F6" s="58" t="s">
        <v>607</v>
      </c>
    </row>
    <row r="7" spans="1:6" ht="26.1" customHeight="1">
      <c r="A7" s="58" t="s">
        <v>546</v>
      </c>
      <c r="B7" s="60" t="s">
        <v>603</v>
      </c>
      <c r="C7" s="58" t="s">
        <v>1834</v>
      </c>
      <c r="D7" s="59" t="s">
        <v>605</v>
      </c>
      <c r="E7" s="58" t="s">
        <v>1835</v>
      </c>
      <c r="F7" s="58" t="s">
        <v>637</v>
      </c>
    </row>
    <row r="8" spans="1:6" ht="26.1" customHeight="1">
      <c r="A8" s="58" t="s">
        <v>1836</v>
      </c>
      <c r="B8" s="60" t="s">
        <v>603</v>
      </c>
      <c r="C8" s="58" t="s">
        <v>1837</v>
      </c>
      <c r="D8" s="59" t="s">
        <v>605</v>
      </c>
      <c r="E8" s="58" t="s">
        <v>606</v>
      </c>
      <c r="F8" s="58" t="s">
        <v>691</v>
      </c>
    </row>
    <row r="9" spans="1:6" ht="26.1" customHeight="1">
      <c r="A9" s="58" t="s">
        <v>1838</v>
      </c>
      <c r="B9" s="60" t="s">
        <v>603</v>
      </c>
      <c r="C9" s="58" t="s">
        <v>1839</v>
      </c>
      <c r="D9" s="59" t="s">
        <v>605</v>
      </c>
      <c r="E9" s="58" t="s">
        <v>610</v>
      </c>
      <c r="F9" s="58" t="s">
        <v>691</v>
      </c>
    </row>
    <row r="10" spans="1:6" ht="26.1" customHeight="1">
      <c r="A10" s="58" t="s">
        <v>1840</v>
      </c>
      <c r="B10" s="60" t="s">
        <v>603</v>
      </c>
      <c r="C10" s="58" t="s">
        <v>1841</v>
      </c>
      <c r="D10" s="59" t="s">
        <v>605</v>
      </c>
      <c r="E10" s="58" t="s">
        <v>683</v>
      </c>
      <c r="F10" s="58" t="s">
        <v>607</v>
      </c>
    </row>
    <row r="11" spans="1:6" ht="26.1" customHeight="1">
      <c r="A11" s="58" t="s">
        <v>1842</v>
      </c>
      <c r="B11" s="61" t="s">
        <v>619</v>
      </c>
      <c r="C11" s="58" t="s">
        <v>888</v>
      </c>
      <c r="D11" s="59" t="s">
        <v>605</v>
      </c>
      <c r="E11" s="58" t="s">
        <v>620</v>
      </c>
      <c r="F11" s="58" t="s">
        <v>607</v>
      </c>
    </row>
    <row r="12" spans="1:6" ht="26.1" customHeight="1">
      <c r="A12" s="58" t="s">
        <v>1843</v>
      </c>
      <c r="B12" s="60" t="s">
        <v>603</v>
      </c>
      <c r="C12" s="58" t="s">
        <v>727</v>
      </c>
      <c r="D12" s="59" t="s">
        <v>605</v>
      </c>
      <c r="E12" s="58" t="s">
        <v>613</v>
      </c>
      <c r="F12" s="58" t="s">
        <v>607</v>
      </c>
    </row>
    <row r="13" spans="1:6" ht="26.1" customHeight="1">
      <c r="A13" s="58" t="s">
        <v>1844</v>
      </c>
      <c r="B13" s="61" t="s">
        <v>619</v>
      </c>
      <c r="C13" s="58" t="s">
        <v>650</v>
      </c>
      <c r="D13" s="59" t="s">
        <v>605</v>
      </c>
      <c r="E13" s="58" t="s">
        <v>651</v>
      </c>
      <c r="F13" s="58" t="s">
        <v>607</v>
      </c>
    </row>
    <row r="14" spans="1:6" ht="26.1" customHeight="1">
      <c r="A14" s="58" t="s">
        <v>1845</v>
      </c>
      <c r="B14" s="61" t="s">
        <v>619</v>
      </c>
      <c r="C14" s="58" t="s">
        <v>888</v>
      </c>
      <c r="D14" s="59" t="s">
        <v>605</v>
      </c>
      <c r="E14" s="58" t="s">
        <v>620</v>
      </c>
      <c r="F14" s="58" t="s">
        <v>607</v>
      </c>
    </row>
    <row r="15" spans="1:6" ht="26.1" customHeight="1">
      <c r="A15" s="58" t="s">
        <v>1846</v>
      </c>
      <c r="B15" s="60" t="s">
        <v>603</v>
      </c>
      <c r="C15" s="58" t="s">
        <v>888</v>
      </c>
      <c r="D15" s="59" t="s">
        <v>605</v>
      </c>
      <c r="E15" s="58" t="s">
        <v>606</v>
      </c>
      <c r="F15" s="58" t="s">
        <v>607</v>
      </c>
    </row>
    <row r="16" spans="1:6" ht="26.1" customHeight="1">
      <c r="A16" s="58" t="s">
        <v>1847</v>
      </c>
      <c r="B16" s="60" t="s">
        <v>603</v>
      </c>
      <c r="C16" s="58" t="s">
        <v>1848</v>
      </c>
      <c r="D16" s="59" t="s">
        <v>605</v>
      </c>
      <c r="E16" s="58" t="s">
        <v>610</v>
      </c>
      <c r="F16" s="58" t="s">
        <v>1849</v>
      </c>
    </row>
    <row r="17" spans="1:6" ht="26.1" customHeight="1">
      <c r="A17" s="58" t="s">
        <v>1850</v>
      </c>
      <c r="B17" s="61" t="s">
        <v>619</v>
      </c>
      <c r="C17" s="58" t="s">
        <v>650</v>
      </c>
      <c r="D17" s="59" t="s">
        <v>605</v>
      </c>
      <c r="E17" s="58" t="s">
        <v>651</v>
      </c>
      <c r="F17" s="58" t="s">
        <v>607</v>
      </c>
    </row>
    <row r="18" spans="1:6" ht="26.1" customHeight="1">
      <c r="A18" s="58" t="s">
        <v>1851</v>
      </c>
      <c r="B18" s="61" t="s">
        <v>619</v>
      </c>
      <c r="C18" s="58" t="s">
        <v>650</v>
      </c>
      <c r="D18" s="59" t="s">
        <v>605</v>
      </c>
      <c r="E18" s="58" t="s">
        <v>651</v>
      </c>
      <c r="F18" s="58" t="s">
        <v>607</v>
      </c>
    </row>
    <row r="19" spans="1:6" ht="26.1" customHeight="1">
      <c r="A19" s="58" t="s">
        <v>1852</v>
      </c>
      <c r="B19" s="60" t="s">
        <v>603</v>
      </c>
      <c r="C19" s="58" t="s">
        <v>1853</v>
      </c>
      <c r="D19" s="59" t="s">
        <v>605</v>
      </c>
      <c r="E19" s="58" t="s">
        <v>610</v>
      </c>
      <c r="F19" s="58" t="s">
        <v>1287</v>
      </c>
    </row>
    <row r="20" spans="1:6" ht="26.1" customHeight="1">
      <c r="A20" s="58" t="s">
        <v>1854</v>
      </c>
      <c r="B20" s="60" t="s">
        <v>603</v>
      </c>
      <c r="C20" s="58" t="s">
        <v>1544</v>
      </c>
      <c r="D20" s="59" t="s">
        <v>605</v>
      </c>
      <c r="E20" s="58" t="s">
        <v>613</v>
      </c>
      <c r="F20" s="58" t="s">
        <v>607</v>
      </c>
    </row>
    <row r="21" spans="1:6" ht="26.1" customHeight="1">
      <c r="A21" s="58" t="s">
        <v>1855</v>
      </c>
      <c r="B21" s="61" t="s">
        <v>619</v>
      </c>
      <c r="C21" s="58" t="s">
        <v>650</v>
      </c>
      <c r="D21" s="59" t="s">
        <v>605</v>
      </c>
      <c r="E21" s="58" t="s">
        <v>651</v>
      </c>
      <c r="F21" s="58" t="s">
        <v>607</v>
      </c>
    </row>
    <row r="22" spans="1:6" ht="26.1" customHeight="1">
      <c r="A22" s="58" t="s">
        <v>1856</v>
      </c>
      <c r="B22" s="61" t="s">
        <v>619</v>
      </c>
      <c r="C22" s="58" t="s">
        <v>650</v>
      </c>
      <c r="D22" s="59" t="s">
        <v>605</v>
      </c>
      <c r="E22" s="58" t="s">
        <v>651</v>
      </c>
      <c r="F22" s="58" t="s">
        <v>607</v>
      </c>
    </row>
    <row r="23" spans="1:6" ht="26.1" customHeight="1">
      <c r="A23" s="58" t="s">
        <v>1857</v>
      </c>
      <c r="B23" s="61" t="s">
        <v>619</v>
      </c>
      <c r="C23" s="58" t="s">
        <v>650</v>
      </c>
      <c r="D23" s="59" t="s">
        <v>605</v>
      </c>
      <c r="E23" s="58" t="s">
        <v>651</v>
      </c>
      <c r="F23" s="58" t="s">
        <v>607</v>
      </c>
    </row>
    <row r="24" spans="1:6" ht="26.1" customHeight="1">
      <c r="A24" s="58" t="s">
        <v>1858</v>
      </c>
      <c r="B24" s="60" t="s">
        <v>603</v>
      </c>
      <c r="C24" s="58" t="s">
        <v>1859</v>
      </c>
      <c r="D24" s="59" t="s">
        <v>605</v>
      </c>
      <c r="E24" s="58" t="s">
        <v>606</v>
      </c>
      <c r="F24" s="58" t="s">
        <v>691</v>
      </c>
    </row>
    <row r="25" spans="1:6" ht="26.1" customHeight="1">
      <c r="A25" s="58" t="s">
        <v>1860</v>
      </c>
      <c r="B25" s="60" t="s">
        <v>603</v>
      </c>
      <c r="C25" s="58" t="s">
        <v>811</v>
      </c>
      <c r="D25" s="59" t="s">
        <v>605</v>
      </c>
      <c r="E25" s="58" t="s">
        <v>683</v>
      </c>
      <c r="F25" s="58" t="s">
        <v>607</v>
      </c>
    </row>
    <row r="26" spans="1:6" ht="26.1" customHeight="1">
      <c r="A26" s="58" t="s">
        <v>1861</v>
      </c>
      <c r="B26" s="60" t="s">
        <v>603</v>
      </c>
      <c r="C26" s="58" t="s">
        <v>1862</v>
      </c>
      <c r="D26" s="59" t="s">
        <v>605</v>
      </c>
      <c r="E26" s="58" t="s">
        <v>610</v>
      </c>
      <c r="F26" s="58" t="s">
        <v>1434</v>
      </c>
    </row>
    <row r="27" spans="1:6" ht="26.1" customHeight="1">
      <c r="A27" s="58" t="s">
        <v>1863</v>
      </c>
      <c r="B27" s="60" t="s">
        <v>603</v>
      </c>
      <c r="C27" s="58" t="s">
        <v>1864</v>
      </c>
      <c r="D27" s="59" t="s">
        <v>605</v>
      </c>
      <c r="E27" s="58" t="s">
        <v>610</v>
      </c>
      <c r="F27" s="58" t="s">
        <v>1385</v>
      </c>
    </row>
    <row r="28" spans="1:6" ht="26.1" customHeight="1">
      <c r="A28" s="58" t="s">
        <v>1865</v>
      </c>
      <c r="B28" s="60" t="s">
        <v>603</v>
      </c>
      <c r="C28" s="58" t="s">
        <v>650</v>
      </c>
      <c r="D28" s="59" t="s">
        <v>605</v>
      </c>
      <c r="E28" s="58" t="s">
        <v>688</v>
      </c>
      <c r="F28" s="58" t="s">
        <v>607</v>
      </c>
    </row>
    <row r="29" spans="1:6" ht="26.1" customHeight="1">
      <c r="A29" s="58" t="s">
        <v>1866</v>
      </c>
      <c r="B29" s="61" t="s">
        <v>619</v>
      </c>
      <c r="C29" s="58" t="s">
        <v>650</v>
      </c>
      <c r="D29" s="59" t="s">
        <v>605</v>
      </c>
      <c r="E29" s="58" t="s">
        <v>651</v>
      </c>
      <c r="F29" s="58" t="s">
        <v>607</v>
      </c>
    </row>
    <row r="30" spans="1:6" ht="26.1" customHeight="1">
      <c r="A30" s="58" t="s">
        <v>1867</v>
      </c>
      <c r="B30" s="60" t="s">
        <v>603</v>
      </c>
      <c r="C30" s="58" t="s">
        <v>888</v>
      </c>
      <c r="D30" s="59" t="s">
        <v>605</v>
      </c>
      <c r="E30" s="58" t="s">
        <v>606</v>
      </c>
      <c r="F30" s="58" t="s">
        <v>607</v>
      </c>
    </row>
    <row r="31" spans="1:6" ht="26.1" customHeight="1">
      <c r="A31" s="58" t="s">
        <v>1868</v>
      </c>
      <c r="B31" s="60" t="s">
        <v>603</v>
      </c>
      <c r="C31" s="58" t="s">
        <v>1869</v>
      </c>
      <c r="D31" s="59" t="s">
        <v>605</v>
      </c>
      <c r="E31" s="58" t="s">
        <v>606</v>
      </c>
      <c r="F31" s="58" t="s">
        <v>607</v>
      </c>
    </row>
    <row r="32" spans="1:6" ht="26.1" customHeight="1">
      <c r="A32" s="58" t="s">
        <v>1870</v>
      </c>
      <c r="B32" s="60" t="s">
        <v>603</v>
      </c>
      <c r="C32" s="58" t="s">
        <v>1871</v>
      </c>
      <c r="D32" s="59" t="s">
        <v>605</v>
      </c>
      <c r="E32" s="58" t="s">
        <v>610</v>
      </c>
      <c r="F32" s="58" t="s">
        <v>747</v>
      </c>
    </row>
    <row r="33" spans="1:6" ht="26.1" customHeight="1">
      <c r="A33" s="58" t="s">
        <v>1872</v>
      </c>
      <c r="B33" s="60" t="s">
        <v>603</v>
      </c>
      <c r="C33" s="58" t="s">
        <v>1666</v>
      </c>
      <c r="D33" s="59" t="s">
        <v>605</v>
      </c>
      <c r="E33" s="58" t="s">
        <v>1111</v>
      </c>
      <c r="F33" s="58" t="s">
        <v>607</v>
      </c>
    </row>
    <row r="34" spans="1:6" ht="26.1" customHeight="1">
      <c r="A34" s="58" t="s">
        <v>1873</v>
      </c>
      <c r="B34" s="60" t="s">
        <v>603</v>
      </c>
      <c r="C34" s="58" t="s">
        <v>626</v>
      </c>
      <c r="D34" s="59" t="s">
        <v>605</v>
      </c>
      <c r="E34" s="58" t="s">
        <v>610</v>
      </c>
      <c r="F34" s="58" t="s">
        <v>607</v>
      </c>
    </row>
    <row r="35" spans="1:6" ht="26.1" customHeight="1">
      <c r="A35" s="58" t="s">
        <v>1874</v>
      </c>
      <c r="B35" s="61" t="s">
        <v>619</v>
      </c>
      <c r="C35" s="58" t="s">
        <v>650</v>
      </c>
      <c r="D35" s="59" t="s">
        <v>605</v>
      </c>
      <c r="E35" s="58" t="s">
        <v>651</v>
      </c>
      <c r="F35" s="58" t="s">
        <v>607</v>
      </c>
    </row>
    <row r="36" spans="1:6" ht="26.1" customHeight="1">
      <c r="A36" s="58" t="s">
        <v>1875</v>
      </c>
      <c r="B36" s="60" t="s">
        <v>603</v>
      </c>
      <c r="C36" s="58" t="s">
        <v>1666</v>
      </c>
      <c r="D36" s="59" t="s">
        <v>605</v>
      </c>
      <c r="E36" s="58" t="s">
        <v>606</v>
      </c>
      <c r="F36" s="58" t="s">
        <v>1385</v>
      </c>
    </row>
    <row r="37" spans="1:6" ht="26.1" customHeight="1">
      <c r="A37" s="58" t="s">
        <v>1876</v>
      </c>
      <c r="B37" s="61" t="s">
        <v>619</v>
      </c>
      <c r="C37" s="58" t="s">
        <v>1877</v>
      </c>
      <c r="D37" s="59" t="s">
        <v>605</v>
      </c>
      <c r="E37" s="58" t="s">
        <v>620</v>
      </c>
      <c r="F37" s="58" t="s">
        <v>691</v>
      </c>
    </row>
    <row r="38" spans="1:6" ht="26.1" customHeight="1">
      <c r="A38" s="58" t="s">
        <v>1878</v>
      </c>
      <c r="B38" s="61" t="s">
        <v>619</v>
      </c>
      <c r="C38" s="58" t="s">
        <v>930</v>
      </c>
      <c r="D38" s="59" t="s">
        <v>605</v>
      </c>
      <c r="E38" s="58" t="s">
        <v>620</v>
      </c>
      <c r="F38" s="58" t="s">
        <v>607</v>
      </c>
    </row>
    <row r="39" spans="1:6" ht="26.1" customHeight="1">
      <c r="A39" s="58" t="s">
        <v>1879</v>
      </c>
      <c r="B39" s="61" t="s">
        <v>619</v>
      </c>
      <c r="C39" s="58" t="s">
        <v>930</v>
      </c>
      <c r="D39" s="59" t="s">
        <v>605</v>
      </c>
      <c r="E39" s="58" t="s">
        <v>620</v>
      </c>
      <c r="F39" s="58" t="s">
        <v>607</v>
      </c>
    </row>
    <row r="40" spans="1:6" ht="26.1" customHeight="1">
      <c r="A40" s="58" t="s">
        <v>1880</v>
      </c>
      <c r="B40" s="60" t="s">
        <v>603</v>
      </c>
      <c r="C40" s="58" t="s">
        <v>1881</v>
      </c>
      <c r="D40" s="59" t="s">
        <v>605</v>
      </c>
      <c r="E40" s="58" t="s">
        <v>606</v>
      </c>
      <c r="F40" s="58" t="s">
        <v>691</v>
      </c>
    </row>
    <row r="41" spans="1:6" ht="26.1" customHeight="1">
      <c r="A41" s="58" t="s">
        <v>1882</v>
      </c>
      <c r="B41" s="61" t="s">
        <v>619</v>
      </c>
      <c r="C41" s="58" t="s">
        <v>650</v>
      </c>
      <c r="D41" s="59" t="s">
        <v>605</v>
      </c>
      <c r="E41" s="58" t="s">
        <v>651</v>
      </c>
      <c r="F41" s="58" t="s">
        <v>607</v>
      </c>
    </row>
    <row r="42" spans="1:6" ht="26.1" customHeight="1">
      <c r="A42" s="58" t="s">
        <v>1883</v>
      </c>
      <c r="B42" s="60" t="s">
        <v>603</v>
      </c>
      <c r="C42" s="58" t="s">
        <v>650</v>
      </c>
      <c r="D42" s="59" t="s">
        <v>605</v>
      </c>
      <c r="E42" s="58" t="s">
        <v>688</v>
      </c>
      <c r="F42" s="58" t="s">
        <v>607</v>
      </c>
    </row>
    <row r="43" spans="1:6" ht="26.1" customHeight="1">
      <c r="A43" s="58" t="s">
        <v>1884</v>
      </c>
      <c r="B43" s="61" t="s">
        <v>619</v>
      </c>
      <c r="C43" s="58" t="s">
        <v>888</v>
      </c>
      <c r="D43" s="59" t="s">
        <v>605</v>
      </c>
      <c r="E43" s="58" t="s">
        <v>620</v>
      </c>
      <c r="F43" s="58" t="s">
        <v>607</v>
      </c>
    </row>
    <row r="44" spans="1:6" ht="26.1" customHeight="1">
      <c r="A44" s="58" t="s">
        <v>1885</v>
      </c>
      <c r="B44" s="61" t="s">
        <v>619</v>
      </c>
      <c r="C44" s="58" t="s">
        <v>650</v>
      </c>
      <c r="D44" s="59" t="s">
        <v>605</v>
      </c>
      <c r="E44" s="58" t="s">
        <v>651</v>
      </c>
      <c r="F44" s="58" t="s">
        <v>607</v>
      </c>
    </row>
    <row r="45" spans="1:6" ht="26.1" customHeight="1">
      <c r="A45" s="58" t="s">
        <v>1886</v>
      </c>
      <c r="B45" s="60" t="s">
        <v>603</v>
      </c>
      <c r="C45" s="64" t="s">
        <v>1887</v>
      </c>
      <c r="D45" s="65" t="s">
        <v>605</v>
      </c>
      <c r="E45" s="58" t="s">
        <v>606</v>
      </c>
      <c r="F45" s="58" t="s">
        <v>691</v>
      </c>
    </row>
    <row r="46" spans="1:6" ht="26.1" customHeight="1">
      <c r="A46" s="58" t="s">
        <v>1888</v>
      </c>
      <c r="B46" s="61" t="s">
        <v>619</v>
      </c>
      <c r="C46" s="64" t="s">
        <v>650</v>
      </c>
      <c r="D46" s="65" t="s">
        <v>605</v>
      </c>
      <c r="E46" s="58" t="s">
        <v>651</v>
      </c>
      <c r="F46" s="58" t="s">
        <v>607</v>
      </c>
    </row>
    <row r="47" spans="1:6" ht="26.1" customHeight="1">
      <c r="A47" s="58" t="s">
        <v>1889</v>
      </c>
      <c r="B47" s="60" t="s">
        <v>603</v>
      </c>
      <c r="C47" s="64" t="s">
        <v>1890</v>
      </c>
      <c r="D47" s="65" t="s">
        <v>605</v>
      </c>
      <c r="E47" s="58" t="s">
        <v>606</v>
      </c>
      <c r="F47" s="58" t="s">
        <v>691</v>
      </c>
    </row>
    <row r="48" spans="1:6" ht="26.1" customHeight="1">
      <c r="A48" s="58" t="s">
        <v>1891</v>
      </c>
      <c r="B48" s="60" t="s">
        <v>603</v>
      </c>
      <c r="C48" s="64" t="s">
        <v>650</v>
      </c>
      <c r="D48" s="65" t="s">
        <v>605</v>
      </c>
      <c r="E48" s="58" t="s">
        <v>688</v>
      </c>
      <c r="F48" s="58" t="s">
        <v>607</v>
      </c>
    </row>
    <row r="49" spans="1:6" ht="26.1" customHeight="1">
      <c r="A49" s="58" t="s">
        <v>1892</v>
      </c>
      <c r="B49" s="60" t="s">
        <v>603</v>
      </c>
      <c r="C49" s="64" t="s">
        <v>1893</v>
      </c>
      <c r="D49" s="65" t="s">
        <v>605</v>
      </c>
      <c r="E49" s="58" t="s">
        <v>610</v>
      </c>
      <c r="F49" s="58" t="s">
        <v>1431</v>
      </c>
    </row>
    <row r="50" spans="1:6" ht="26.1" customHeight="1">
      <c r="A50" s="58" t="s">
        <v>1894</v>
      </c>
      <c r="B50" s="60" t="s">
        <v>603</v>
      </c>
      <c r="C50" s="64" t="s">
        <v>650</v>
      </c>
      <c r="D50" s="65" t="s">
        <v>605</v>
      </c>
      <c r="E50" s="58" t="s">
        <v>688</v>
      </c>
      <c r="F50" s="58" t="s">
        <v>607</v>
      </c>
    </row>
    <row r="51" spans="1:6" ht="26.1" customHeight="1">
      <c r="A51" s="58" t="s">
        <v>1895</v>
      </c>
      <c r="B51" s="60" t="s">
        <v>603</v>
      </c>
      <c r="C51" s="64" t="s">
        <v>1896</v>
      </c>
      <c r="D51" s="65" t="s">
        <v>605</v>
      </c>
      <c r="E51" s="58" t="s">
        <v>610</v>
      </c>
      <c r="F51" s="58" t="s">
        <v>1897</v>
      </c>
    </row>
    <row r="52" spans="1:6" ht="26.1" customHeight="1">
      <c r="A52" s="58" t="s">
        <v>530</v>
      </c>
      <c r="B52" s="60" t="s">
        <v>603</v>
      </c>
      <c r="C52" s="64" t="s">
        <v>1898</v>
      </c>
      <c r="D52" s="65" t="s">
        <v>605</v>
      </c>
      <c r="E52" s="58" t="s">
        <v>1899</v>
      </c>
      <c r="F52" s="58" t="s">
        <v>637</v>
      </c>
    </row>
    <row r="53" spans="1:6" ht="26.1" customHeight="1">
      <c r="A53" s="58" t="s">
        <v>1900</v>
      </c>
      <c r="B53" s="60" t="s">
        <v>603</v>
      </c>
      <c r="C53" s="64" t="s">
        <v>1901</v>
      </c>
      <c r="D53" s="65" t="s">
        <v>605</v>
      </c>
      <c r="E53" s="58" t="s">
        <v>606</v>
      </c>
      <c r="F53" s="58" t="s">
        <v>607</v>
      </c>
    </row>
    <row r="54" spans="1:6" ht="26.1" customHeight="1">
      <c r="A54" s="58" t="s">
        <v>1902</v>
      </c>
      <c r="B54" s="61" t="s">
        <v>619</v>
      </c>
      <c r="C54" s="64" t="s">
        <v>650</v>
      </c>
      <c r="D54" s="65" t="s">
        <v>605</v>
      </c>
      <c r="E54" s="58" t="s">
        <v>651</v>
      </c>
      <c r="F54" s="58" t="s">
        <v>607</v>
      </c>
    </row>
    <row r="55" spans="1:6" ht="26.1" customHeight="1">
      <c r="A55" s="58" t="s">
        <v>1903</v>
      </c>
      <c r="B55" s="60" t="s">
        <v>603</v>
      </c>
      <c r="C55" s="64" t="s">
        <v>1904</v>
      </c>
      <c r="D55" s="65" t="s">
        <v>605</v>
      </c>
      <c r="E55" s="58" t="s">
        <v>606</v>
      </c>
      <c r="F55" s="58" t="s">
        <v>607</v>
      </c>
    </row>
    <row r="56" spans="1:6" ht="26.1" customHeight="1">
      <c r="A56" s="58" t="s">
        <v>1905</v>
      </c>
      <c r="B56" s="60" t="s">
        <v>603</v>
      </c>
      <c r="C56" s="64" t="s">
        <v>1906</v>
      </c>
      <c r="D56" s="65" t="s">
        <v>605</v>
      </c>
      <c r="E56" s="58" t="s">
        <v>606</v>
      </c>
      <c r="F56" s="58" t="s">
        <v>691</v>
      </c>
    </row>
    <row r="57" spans="1:6" ht="26.1" customHeight="1">
      <c r="A57" s="58" t="s">
        <v>1907</v>
      </c>
      <c r="B57" s="61" t="s">
        <v>619</v>
      </c>
      <c r="C57" s="58" t="s">
        <v>1906</v>
      </c>
      <c r="D57" s="59" t="s">
        <v>605</v>
      </c>
      <c r="E57" s="58" t="s">
        <v>620</v>
      </c>
      <c r="F57" s="58" t="s">
        <v>691</v>
      </c>
    </row>
    <row r="58" spans="1:6" ht="26.1" customHeight="1">
      <c r="A58" s="58" t="s">
        <v>1908</v>
      </c>
      <c r="B58" s="60" t="s">
        <v>603</v>
      </c>
      <c r="C58" s="58" t="s">
        <v>1909</v>
      </c>
      <c r="D58" s="59" t="s">
        <v>605</v>
      </c>
      <c r="E58" s="58" t="s">
        <v>610</v>
      </c>
      <c r="F58" s="58" t="s">
        <v>1434</v>
      </c>
    </row>
    <row r="59" spans="1:6" ht="26.1" customHeight="1">
      <c r="A59" s="58" t="s">
        <v>157</v>
      </c>
      <c r="B59" s="60" t="s">
        <v>603</v>
      </c>
      <c r="C59" s="58" t="s">
        <v>1910</v>
      </c>
      <c r="D59" s="59" t="s">
        <v>605</v>
      </c>
      <c r="E59" s="58" t="s">
        <v>610</v>
      </c>
      <c r="F59" s="58" t="s">
        <v>1627</v>
      </c>
    </row>
    <row r="60" spans="1:6" ht="26.1" customHeight="1">
      <c r="A60" s="58" t="s">
        <v>1911</v>
      </c>
      <c r="B60" s="60" t="s">
        <v>603</v>
      </c>
      <c r="C60" s="67" t="s">
        <v>1912</v>
      </c>
      <c r="D60" s="59" t="s">
        <v>605</v>
      </c>
      <c r="E60" s="58" t="s">
        <v>610</v>
      </c>
      <c r="F60" s="58" t="s">
        <v>691</v>
      </c>
    </row>
    <row r="61" spans="1:6" ht="26.1" customHeight="1">
      <c r="A61" s="58" t="s">
        <v>1913</v>
      </c>
      <c r="B61" s="61" t="s">
        <v>619</v>
      </c>
      <c r="C61" s="67" t="s">
        <v>650</v>
      </c>
      <c r="D61" s="59" t="s">
        <v>605</v>
      </c>
      <c r="E61" s="58" t="s">
        <v>651</v>
      </c>
      <c r="F61" s="58" t="s">
        <v>607</v>
      </c>
    </row>
    <row r="62" spans="1:6" ht="26.1" customHeight="1">
      <c r="A62" s="58" t="s">
        <v>1914</v>
      </c>
      <c r="B62" s="61" t="s">
        <v>619</v>
      </c>
      <c r="C62" s="58" t="s">
        <v>888</v>
      </c>
      <c r="D62" s="59" t="s">
        <v>605</v>
      </c>
      <c r="E62" s="58" t="s">
        <v>620</v>
      </c>
      <c r="F62" s="58" t="s">
        <v>607</v>
      </c>
    </row>
    <row r="63" spans="1:6" ht="26.1" customHeight="1">
      <c r="A63" s="58" t="s">
        <v>1915</v>
      </c>
      <c r="B63" s="61" t="s">
        <v>619</v>
      </c>
      <c r="C63" s="58" t="s">
        <v>888</v>
      </c>
      <c r="D63" s="59" t="s">
        <v>605</v>
      </c>
      <c r="E63" s="58" t="s">
        <v>620</v>
      </c>
      <c r="F63" s="58" t="s">
        <v>607</v>
      </c>
    </row>
    <row r="64" spans="1:6" ht="26.1" customHeight="1">
      <c r="A64" s="58" t="s">
        <v>1916</v>
      </c>
      <c r="B64" s="60" t="s">
        <v>603</v>
      </c>
      <c r="C64" s="67" t="s">
        <v>1917</v>
      </c>
      <c r="D64" s="59" t="s">
        <v>605</v>
      </c>
      <c r="E64" s="58" t="s">
        <v>683</v>
      </c>
      <c r="F64" s="58" t="s">
        <v>607</v>
      </c>
    </row>
    <row r="66" spans="3:4" ht="15">
      <c r="C66" s="63" t="s">
        <v>633</v>
      </c>
      <c r="D66" s="63" t="str">
        <f>COUNTIF(D2:D64,"☑")&amp;" / "&amp;COUNTA(A2:A64)</f>
        <v>0 / 63</v>
      </c>
    </row>
  </sheetData>
  <conditionalFormatting sqref="B2:B43">
    <cfRule type="expression" dxfId="86" priority="1">
      <formula>B2="A"</formula>
    </cfRule>
    <cfRule type="expression" dxfId="85" priority="2">
      <formula>B2="B"</formula>
    </cfRule>
    <cfRule type="expression" dxfId="84" priority="3">
      <formula>B2="C"</formula>
    </cfRule>
  </conditionalFormatting>
  <conditionalFormatting sqref="D2:D64">
    <cfRule type="expression" dxfId="83" priority="4">
      <formula>D2="☑"</formula>
    </cfRule>
  </conditionalFormatting>
  <dataValidations count="1">
    <dataValidation type="list" sqref="D2:D64" xr:uid="{00000000-0002-0000-1500-000000000000}">
      <formula1>"☐,☑"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93"/>
  <sheetViews>
    <sheetView workbookViewId="0"/>
  </sheetViews>
  <sheetFormatPr defaultRowHeight="14.25"/>
  <cols>
    <col min="1" max="1" width="34" customWidth="1"/>
    <col min="2" max="2" width="10" customWidth="1"/>
    <col min="3" max="3" width="50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81" t="s">
        <v>598</v>
      </c>
      <c r="B1" s="81" t="s">
        <v>599</v>
      </c>
      <c r="C1" s="81" t="s">
        <v>13</v>
      </c>
      <c r="D1" s="81" t="s">
        <v>3</v>
      </c>
      <c r="E1" s="81" t="s">
        <v>600</v>
      </c>
      <c r="F1" s="81" t="s">
        <v>601</v>
      </c>
    </row>
    <row r="2" spans="1:6" ht="27.95" customHeight="1">
      <c r="A2" s="82" t="s">
        <v>1918</v>
      </c>
      <c r="B2" s="84" t="s">
        <v>603</v>
      </c>
      <c r="C2" s="82" t="s">
        <v>622</v>
      </c>
      <c r="D2" s="83" t="s">
        <v>605</v>
      </c>
      <c r="E2" s="82" t="s">
        <v>610</v>
      </c>
      <c r="F2" s="82" t="s">
        <v>1385</v>
      </c>
    </row>
    <row r="3" spans="1:6" ht="27.95" customHeight="1">
      <c r="A3" s="82" t="s">
        <v>337</v>
      </c>
      <c r="B3" s="84" t="s">
        <v>603</v>
      </c>
      <c r="C3" s="82" t="s">
        <v>1919</v>
      </c>
      <c r="D3" s="83" t="s">
        <v>605</v>
      </c>
      <c r="E3" s="82" t="s">
        <v>610</v>
      </c>
      <c r="F3" s="82" t="s">
        <v>1920</v>
      </c>
    </row>
    <row r="4" spans="1:6" ht="27.95" customHeight="1">
      <c r="A4" s="82" t="s">
        <v>1921</v>
      </c>
      <c r="B4" s="85" t="s">
        <v>619</v>
      </c>
      <c r="C4" s="82" t="s">
        <v>650</v>
      </c>
      <c r="D4" s="83" t="s">
        <v>605</v>
      </c>
      <c r="E4" s="82" t="s">
        <v>651</v>
      </c>
      <c r="F4" s="82" t="s">
        <v>607</v>
      </c>
    </row>
    <row r="5" spans="1:6" ht="27.95" customHeight="1">
      <c r="A5" s="82" t="s">
        <v>1922</v>
      </c>
      <c r="B5" s="85" t="s">
        <v>619</v>
      </c>
      <c r="C5" s="82" t="s">
        <v>888</v>
      </c>
      <c r="D5" s="83" t="s">
        <v>605</v>
      </c>
      <c r="E5" s="82" t="s">
        <v>620</v>
      </c>
      <c r="F5" s="82" t="s">
        <v>607</v>
      </c>
    </row>
    <row r="6" spans="1:6" ht="27.95" customHeight="1">
      <c r="A6" s="82" t="s">
        <v>1923</v>
      </c>
      <c r="B6" s="84" t="s">
        <v>603</v>
      </c>
      <c r="C6" s="82" t="s">
        <v>650</v>
      </c>
      <c r="D6" s="83" t="s">
        <v>605</v>
      </c>
      <c r="E6" s="82" t="s">
        <v>688</v>
      </c>
      <c r="F6" s="82" t="s">
        <v>607</v>
      </c>
    </row>
    <row r="7" spans="1:6" ht="27.95" customHeight="1">
      <c r="A7" s="82" t="s">
        <v>1924</v>
      </c>
      <c r="B7" s="85" t="s">
        <v>619</v>
      </c>
      <c r="C7" s="82" t="s">
        <v>650</v>
      </c>
      <c r="D7" s="83" t="s">
        <v>605</v>
      </c>
      <c r="E7" s="82" t="s">
        <v>651</v>
      </c>
      <c r="F7" s="82" t="s">
        <v>607</v>
      </c>
    </row>
    <row r="8" spans="1:6" ht="27.95" customHeight="1">
      <c r="A8" s="82" t="s">
        <v>1925</v>
      </c>
      <c r="B8" s="84" t="s">
        <v>603</v>
      </c>
      <c r="C8" s="82" t="s">
        <v>1926</v>
      </c>
      <c r="D8" s="83" t="s">
        <v>605</v>
      </c>
      <c r="E8" s="82" t="s">
        <v>606</v>
      </c>
      <c r="F8" s="82" t="s">
        <v>691</v>
      </c>
    </row>
    <row r="9" spans="1:6" ht="27.95" customHeight="1">
      <c r="A9" s="82" t="s">
        <v>1927</v>
      </c>
      <c r="B9" s="85" t="s">
        <v>619</v>
      </c>
      <c r="C9" s="82" t="s">
        <v>650</v>
      </c>
      <c r="D9" s="83" t="s">
        <v>605</v>
      </c>
      <c r="E9" s="82" t="s">
        <v>651</v>
      </c>
      <c r="F9" s="82" t="s">
        <v>607</v>
      </c>
    </row>
    <row r="10" spans="1:6" ht="27.95" customHeight="1">
      <c r="A10" s="82" t="s">
        <v>1928</v>
      </c>
      <c r="B10" s="85" t="s">
        <v>619</v>
      </c>
      <c r="C10" s="82" t="s">
        <v>650</v>
      </c>
      <c r="D10" s="83" t="s">
        <v>605</v>
      </c>
      <c r="E10" s="82" t="s">
        <v>651</v>
      </c>
      <c r="F10" s="82" t="s">
        <v>607</v>
      </c>
    </row>
    <row r="11" spans="1:6" ht="27.95" customHeight="1">
      <c r="A11" s="82" t="s">
        <v>1929</v>
      </c>
      <c r="B11" s="84" t="s">
        <v>603</v>
      </c>
      <c r="C11" s="82" t="s">
        <v>793</v>
      </c>
      <c r="D11" s="83" t="s">
        <v>605</v>
      </c>
      <c r="E11" s="82" t="s">
        <v>1930</v>
      </c>
      <c r="F11" s="82" t="s">
        <v>607</v>
      </c>
    </row>
    <row r="12" spans="1:6" ht="27.95" customHeight="1">
      <c r="A12" s="82" t="s">
        <v>1931</v>
      </c>
      <c r="B12" s="84" t="s">
        <v>603</v>
      </c>
      <c r="C12" s="82" t="s">
        <v>1932</v>
      </c>
      <c r="D12" s="83" t="s">
        <v>605</v>
      </c>
      <c r="E12" s="82" t="s">
        <v>1202</v>
      </c>
      <c r="F12" s="82" t="s">
        <v>637</v>
      </c>
    </row>
    <row r="13" spans="1:6" ht="27.95" customHeight="1">
      <c r="A13" s="82" t="s">
        <v>1933</v>
      </c>
      <c r="B13" s="84" t="s">
        <v>603</v>
      </c>
      <c r="C13" s="82" t="s">
        <v>1934</v>
      </c>
      <c r="D13" s="83" t="s">
        <v>605</v>
      </c>
      <c r="E13" s="82" t="s">
        <v>610</v>
      </c>
      <c r="F13" s="82" t="s">
        <v>607</v>
      </c>
    </row>
    <row r="14" spans="1:6" ht="27.95" customHeight="1">
      <c r="A14" s="82" t="s">
        <v>1935</v>
      </c>
      <c r="B14" s="85" t="s">
        <v>619</v>
      </c>
      <c r="C14" s="82" t="s">
        <v>888</v>
      </c>
      <c r="D14" s="83" t="s">
        <v>605</v>
      </c>
      <c r="E14" s="82" t="s">
        <v>620</v>
      </c>
      <c r="F14" s="82" t="s">
        <v>607</v>
      </c>
    </row>
    <row r="15" spans="1:6" ht="27.95" customHeight="1">
      <c r="A15" s="82" t="s">
        <v>1936</v>
      </c>
      <c r="B15" s="85" t="s">
        <v>619</v>
      </c>
      <c r="C15" s="82" t="s">
        <v>650</v>
      </c>
      <c r="D15" s="83" t="s">
        <v>605</v>
      </c>
      <c r="E15" s="82" t="s">
        <v>651</v>
      </c>
      <c r="F15" s="82" t="s">
        <v>607</v>
      </c>
    </row>
    <row r="16" spans="1:6" ht="27.95" customHeight="1">
      <c r="A16" s="82" t="s">
        <v>1937</v>
      </c>
      <c r="B16" s="84" t="s">
        <v>603</v>
      </c>
      <c r="C16" s="82" t="s">
        <v>1938</v>
      </c>
      <c r="D16" s="83" t="s">
        <v>605</v>
      </c>
      <c r="E16" s="82" t="s">
        <v>1939</v>
      </c>
      <c r="F16" s="82" t="s">
        <v>1940</v>
      </c>
    </row>
    <row r="17" spans="1:6" ht="27.95" customHeight="1">
      <c r="A17" s="82" t="s">
        <v>78</v>
      </c>
      <c r="B17" s="84" t="s">
        <v>603</v>
      </c>
      <c r="C17" s="82" t="s">
        <v>1461</v>
      </c>
      <c r="D17" s="83" t="s">
        <v>605</v>
      </c>
      <c r="E17" s="82" t="s">
        <v>606</v>
      </c>
      <c r="F17" s="82" t="s">
        <v>1941</v>
      </c>
    </row>
    <row r="18" spans="1:6" ht="27.95" customHeight="1">
      <c r="A18" s="82" t="s">
        <v>1942</v>
      </c>
      <c r="B18" s="85" t="s">
        <v>619</v>
      </c>
      <c r="C18" s="82" t="s">
        <v>650</v>
      </c>
      <c r="D18" s="83" t="s">
        <v>605</v>
      </c>
      <c r="E18" s="82" t="s">
        <v>651</v>
      </c>
      <c r="F18" s="82" t="s">
        <v>607</v>
      </c>
    </row>
    <row r="19" spans="1:6" ht="27.95" customHeight="1">
      <c r="A19" s="82" t="s">
        <v>1943</v>
      </c>
      <c r="B19" s="85" t="s">
        <v>619</v>
      </c>
      <c r="C19" s="82" t="s">
        <v>650</v>
      </c>
      <c r="D19" s="83" t="s">
        <v>605</v>
      </c>
      <c r="E19" s="82" t="s">
        <v>651</v>
      </c>
      <c r="F19" s="82" t="s">
        <v>607</v>
      </c>
    </row>
    <row r="20" spans="1:6" ht="27.95" customHeight="1">
      <c r="A20" s="82" t="s">
        <v>1944</v>
      </c>
      <c r="B20" s="85" t="s">
        <v>619</v>
      </c>
      <c r="C20" s="82" t="s">
        <v>650</v>
      </c>
      <c r="D20" s="83" t="s">
        <v>605</v>
      </c>
      <c r="E20" s="82" t="s">
        <v>651</v>
      </c>
      <c r="F20" s="82" t="s">
        <v>607</v>
      </c>
    </row>
    <row r="21" spans="1:6" ht="27.95" customHeight="1">
      <c r="A21" s="82" t="s">
        <v>1945</v>
      </c>
      <c r="B21" s="85" t="s">
        <v>619</v>
      </c>
      <c r="C21" s="82" t="s">
        <v>650</v>
      </c>
      <c r="D21" s="83" t="s">
        <v>605</v>
      </c>
      <c r="E21" s="82" t="s">
        <v>651</v>
      </c>
      <c r="F21" s="82" t="s">
        <v>607</v>
      </c>
    </row>
    <row r="22" spans="1:6" ht="27.95" customHeight="1">
      <c r="A22" s="82" t="s">
        <v>1946</v>
      </c>
      <c r="B22" s="84" t="s">
        <v>603</v>
      </c>
      <c r="C22" s="82" t="s">
        <v>1947</v>
      </c>
      <c r="D22" s="83" t="s">
        <v>605</v>
      </c>
      <c r="E22" s="82" t="s">
        <v>802</v>
      </c>
      <c r="F22" s="82" t="s">
        <v>607</v>
      </c>
    </row>
    <row r="23" spans="1:6" ht="27.95" customHeight="1">
      <c r="A23" s="82" t="s">
        <v>1948</v>
      </c>
      <c r="B23" s="85" t="s">
        <v>619</v>
      </c>
      <c r="C23" s="82" t="s">
        <v>650</v>
      </c>
      <c r="D23" s="83" t="s">
        <v>605</v>
      </c>
      <c r="E23" s="82" t="s">
        <v>651</v>
      </c>
      <c r="F23" s="82" t="s">
        <v>607</v>
      </c>
    </row>
    <row r="24" spans="1:6" ht="27.95" customHeight="1">
      <c r="A24" s="82" t="s">
        <v>1949</v>
      </c>
      <c r="B24" s="85" t="s">
        <v>619</v>
      </c>
      <c r="C24" s="82" t="s">
        <v>888</v>
      </c>
      <c r="D24" s="83" t="s">
        <v>605</v>
      </c>
      <c r="E24" s="82" t="s">
        <v>620</v>
      </c>
      <c r="F24" s="82" t="s">
        <v>607</v>
      </c>
    </row>
    <row r="25" spans="1:6" ht="27.95" customHeight="1">
      <c r="A25" s="82" t="s">
        <v>1950</v>
      </c>
      <c r="B25" s="85" t="s">
        <v>619</v>
      </c>
      <c r="C25" s="82" t="s">
        <v>650</v>
      </c>
      <c r="D25" s="83" t="s">
        <v>605</v>
      </c>
      <c r="E25" s="82" t="s">
        <v>651</v>
      </c>
      <c r="F25" s="82" t="s">
        <v>607</v>
      </c>
    </row>
    <row r="26" spans="1:6" ht="27.95" customHeight="1">
      <c r="A26" s="82" t="s">
        <v>1951</v>
      </c>
      <c r="B26" s="85" t="s">
        <v>619</v>
      </c>
      <c r="C26" s="82" t="s">
        <v>650</v>
      </c>
      <c r="D26" s="83" t="s">
        <v>605</v>
      </c>
      <c r="E26" s="82" t="s">
        <v>651</v>
      </c>
      <c r="F26" s="82" t="s">
        <v>607</v>
      </c>
    </row>
    <row r="27" spans="1:6" ht="27.95" customHeight="1">
      <c r="A27" s="82" t="s">
        <v>1952</v>
      </c>
      <c r="B27" s="85" t="s">
        <v>619</v>
      </c>
      <c r="C27" s="82" t="s">
        <v>650</v>
      </c>
      <c r="D27" s="83" t="s">
        <v>605</v>
      </c>
      <c r="E27" s="82" t="s">
        <v>651</v>
      </c>
      <c r="F27" s="82" t="s">
        <v>607</v>
      </c>
    </row>
    <row r="28" spans="1:6" ht="27.95" customHeight="1">
      <c r="A28" s="82" t="s">
        <v>1953</v>
      </c>
      <c r="B28" s="85" t="s">
        <v>619</v>
      </c>
      <c r="C28" s="82" t="s">
        <v>650</v>
      </c>
      <c r="D28" s="83" t="s">
        <v>605</v>
      </c>
      <c r="E28" s="82" t="s">
        <v>651</v>
      </c>
      <c r="F28" s="82" t="s">
        <v>607</v>
      </c>
    </row>
    <row r="29" spans="1:6" ht="27.95" customHeight="1">
      <c r="A29" s="82" t="s">
        <v>1954</v>
      </c>
      <c r="B29" s="85" t="s">
        <v>619</v>
      </c>
      <c r="C29" s="82" t="s">
        <v>650</v>
      </c>
      <c r="D29" s="83" t="s">
        <v>605</v>
      </c>
      <c r="E29" s="82" t="s">
        <v>651</v>
      </c>
      <c r="F29" s="82" t="s">
        <v>607</v>
      </c>
    </row>
    <row r="30" spans="1:6" ht="27.95" customHeight="1">
      <c r="A30" s="82" t="s">
        <v>1955</v>
      </c>
      <c r="B30" s="85" t="s">
        <v>619</v>
      </c>
      <c r="C30" s="82" t="s">
        <v>650</v>
      </c>
      <c r="D30" s="83" t="s">
        <v>605</v>
      </c>
      <c r="E30" s="82" t="s">
        <v>651</v>
      </c>
      <c r="F30" s="82" t="s">
        <v>607</v>
      </c>
    </row>
    <row r="31" spans="1:6" ht="27.95" customHeight="1">
      <c r="A31" s="82" t="s">
        <v>1956</v>
      </c>
      <c r="B31" s="85" t="s">
        <v>619</v>
      </c>
      <c r="C31" s="82" t="s">
        <v>650</v>
      </c>
      <c r="D31" s="83" t="s">
        <v>605</v>
      </c>
      <c r="E31" s="82" t="s">
        <v>651</v>
      </c>
      <c r="F31" s="82" t="s">
        <v>607</v>
      </c>
    </row>
    <row r="32" spans="1:6" ht="27.95" customHeight="1">
      <c r="A32" s="82" t="s">
        <v>332</v>
      </c>
      <c r="B32" s="84" t="s">
        <v>603</v>
      </c>
      <c r="C32" s="82" t="s">
        <v>1957</v>
      </c>
      <c r="D32" s="83" t="s">
        <v>605</v>
      </c>
      <c r="E32" s="82" t="s">
        <v>610</v>
      </c>
      <c r="F32" s="82" t="s">
        <v>1958</v>
      </c>
    </row>
    <row r="33" spans="1:6" ht="27.95" customHeight="1">
      <c r="A33" s="82" t="s">
        <v>1959</v>
      </c>
      <c r="B33" s="85" t="s">
        <v>619</v>
      </c>
      <c r="C33" s="82" t="s">
        <v>888</v>
      </c>
      <c r="D33" s="83" t="s">
        <v>605</v>
      </c>
      <c r="E33" s="82" t="s">
        <v>620</v>
      </c>
      <c r="F33" s="82" t="s">
        <v>607</v>
      </c>
    </row>
    <row r="34" spans="1:6" ht="27.95" customHeight="1">
      <c r="A34" s="82" t="s">
        <v>1960</v>
      </c>
      <c r="B34" s="84" t="s">
        <v>603</v>
      </c>
      <c r="C34" s="82" t="s">
        <v>1961</v>
      </c>
      <c r="D34" s="83" t="s">
        <v>605</v>
      </c>
      <c r="E34" s="82" t="s">
        <v>606</v>
      </c>
      <c r="F34" s="82" t="s">
        <v>691</v>
      </c>
    </row>
    <row r="35" spans="1:6" ht="27.95" customHeight="1">
      <c r="A35" s="82" t="s">
        <v>1962</v>
      </c>
      <c r="B35" s="84" t="s">
        <v>603</v>
      </c>
      <c r="C35" s="82" t="s">
        <v>1963</v>
      </c>
      <c r="D35" s="83" t="s">
        <v>605</v>
      </c>
      <c r="E35" s="82" t="s">
        <v>606</v>
      </c>
      <c r="F35" s="82" t="s">
        <v>607</v>
      </c>
    </row>
    <row r="36" spans="1:6" ht="27.95" customHeight="1">
      <c r="A36" s="82" t="s">
        <v>1964</v>
      </c>
      <c r="B36" s="85" t="s">
        <v>619</v>
      </c>
      <c r="C36" s="82" t="s">
        <v>650</v>
      </c>
      <c r="D36" s="83" t="s">
        <v>605</v>
      </c>
      <c r="E36" s="82" t="s">
        <v>651</v>
      </c>
      <c r="F36" s="82" t="s">
        <v>607</v>
      </c>
    </row>
    <row r="37" spans="1:6" ht="27.95" customHeight="1">
      <c r="A37" s="82" t="s">
        <v>1965</v>
      </c>
      <c r="B37" s="85" t="s">
        <v>619</v>
      </c>
      <c r="C37" s="82" t="s">
        <v>650</v>
      </c>
      <c r="D37" s="83" t="s">
        <v>605</v>
      </c>
      <c r="E37" s="82" t="s">
        <v>651</v>
      </c>
      <c r="F37" s="82" t="s">
        <v>607</v>
      </c>
    </row>
    <row r="38" spans="1:6" ht="27.95" customHeight="1">
      <c r="A38" s="82" t="s">
        <v>1966</v>
      </c>
      <c r="B38" s="85" t="s">
        <v>619</v>
      </c>
      <c r="C38" s="82" t="s">
        <v>650</v>
      </c>
      <c r="D38" s="83" t="s">
        <v>605</v>
      </c>
      <c r="E38" s="82" t="s">
        <v>651</v>
      </c>
      <c r="F38" s="82" t="s">
        <v>607</v>
      </c>
    </row>
    <row r="39" spans="1:6" ht="27.95" customHeight="1">
      <c r="A39" s="82" t="s">
        <v>1967</v>
      </c>
      <c r="B39" s="85" t="s">
        <v>619</v>
      </c>
      <c r="C39" s="82" t="s">
        <v>650</v>
      </c>
      <c r="D39" s="83" t="s">
        <v>605</v>
      </c>
      <c r="E39" s="82" t="s">
        <v>651</v>
      </c>
      <c r="F39" s="82" t="s">
        <v>607</v>
      </c>
    </row>
    <row r="40" spans="1:6" ht="27.95" customHeight="1">
      <c r="A40" s="82" t="s">
        <v>1968</v>
      </c>
      <c r="B40" s="84" t="s">
        <v>603</v>
      </c>
      <c r="C40" s="82" t="s">
        <v>650</v>
      </c>
      <c r="D40" s="83" t="s">
        <v>605</v>
      </c>
      <c r="E40" s="82" t="s">
        <v>1047</v>
      </c>
      <c r="F40" s="82" t="s">
        <v>607</v>
      </c>
    </row>
    <row r="41" spans="1:6" ht="27.95" customHeight="1">
      <c r="A41" s="82" t="s">
        <v>1969</v>
      </c>
      <c r="B41" s="85" t="s">
        <v>619</v>
      </c>
      <c r="C41" s="82" t="s">
        <v>1970</v>
      </c>
      <c r="D41" s="83" t="s">
        <v>605</v>
      </c>
      <c r="E41" s="82" t="s">
        <v>620</v>
      </c>
      <c r="F41" s="82" t="s">
        <v>1385</v>
      </c>
    </row>
    <row r="42" spans="1:6" ht="27.95" customHeight="1">
      <c r="A42" s="82" t="s">
        <v>1971</v>
      </c>
      <c r="B42" s="84" t="s">
        <v>603</v>
      </c>
      <c r="C42" s="82" t="s">
        <v>1972</v>
      </c>
      <c r="D42" s="83" t="s">
        <v>605</v>
      </c>
      <c r="E42" s="82" t="s">
        <v>1085</v>
      </c>
      <c r="F42" s="82" t="s">
        <v>1973</v>
      </c>
    </row>
    <row r="43" spans="1:6" ht="27.95" customHeight="1">
      <c r="A43" s="82" t="s">
        <v>1974</v>
      </c>
      <c r="B43" s="85" t="s">
        <v>619</v>
      </c>
      <c r="C43" s="82" t="s">
        <v>888</v>
      </c>
      <c r="D43" s="83" t="s">
        <v>605</v>
      </c>
      <c r="E43" s="82" t="s">
        <v>620</v>
      </c>
      <c r="F43" s="82" t="s">
        <v>607</v>
      </c>
    </row>
    <row r="44" spans="1:6" ht="27.95" customHeight="1">
      <c r="A44" s="82" t="s">
        <v>1975</v>
      </c>
      <c r="B44" s="85" t="s">
        <v>619</v>
      </c>
      <c r="C44" s="82" t="s">
        <v>650</v>
      </c>
      <c r="D44" s="83" t="s">
        <v>605</v>
      </c>
      <c r="E44" s="82" t="s">
        <v>651</v>
      </c>
      <c r="F44" s="82" t="s">
        <v>607</v>
      </c>
    </row>
    <row r="45" spans="1:6" ht="27.95" customHeight="1">
      <c r="A45" s="82" t="s">
        <v>1976</v>
      </c>
      <c r="B45" s="84" t="s">
        <v>603</v>
      </c>
      <c r="C45" s="82" t="s">
        <v>1461</v>
      </c>
      <c r="D45" s="83" t="s">
        <v>605</v>
      </c>
      <c r="E45" s="82" t="s">
        <v>606</v>
      </c>
      <c r="F45" s="82" t="s">
        <v>870</v>
      </c>
    </row>
    <row r="46" spans="1:6" ht="27.95" customHeight="1">
      <c r="A46" s="82" t="s">
        <v>1977</v>
      </c>
      <c r="B46" s="84" t="s">
        <v>603</v>
      </c>
      <c r="C46" s="82" t="s">
        <v>1978</v>
      </c>
      <c r="D46" s="83" t="s">
        <v>605</v>
      </c>
      <c r="E46" s="82" t="s">
        <v>606</v>
      </c>
      <c r="F46" s="82" t="s">
        <v>870</v>
      </c>
    </row>
    <row r="47" spans="1:6" ht="27.95" customHeight="1">
      <c r="A47" s="82" t="s">
        <v>1979</v>
      </c>
      <c r="B47" s="85" t="s">
        <v>619</v>
      </c>
      <c r="C47" s="82" t="s">
        <v>650</v>
      </c>
      <c r="D47" s="83" t="s">
        <v>605</v>
      </c>
      <c r="E47" s="82" t="s">
        <v>651</v>
      </c>
      <c r="F47" s="82" t="s">
        <v>607</v>
      </c>
    </row>
    <row r="48" spans="1:6" ht="27.95" customHeight="1">
      <c r="A48" s="82" t="s">
        <v>1980</v>
      </c>
      <c r="B48" s="85" t="s">
        <v>619</v>
      </c>
      <c r="C48" s="82" t="s">
        <v>650</v>
      </c>
      <c r="D48" s="83" t="s">
        <v>605</v>
      </c>
      <c r="E48" s="82" t="s">
        <v>651</v>
      </c>
      <c r="F48" s="82" t="s">
        <v>607</v>
      </c>
    </row>
    <row r="49" spans="1:6" ht="27.95" customHeight="1">
      <c r="A49" s="82" t="s">
        <v>1981</v>
      </c>
      <c r="B49" s="84" t="s">
        <v>603</v>
      </c>
      <c r="C49" s="82" t="s">
        <v>727</v>
      </c>
      <c r="D49" s="83" t="s">
        <v>605</v>
      </c>
      <c r="E49" s="82" t="s">
        <v>610</v>
      </c>
      <c r="F49" s="82" t="s">
        <v>607</v>
      </c>
    </row>
    <row r="50" spans="1:6" ht="27.95" customHeight="1">
      <c r="A50" s="82" t="s">
        <v>1982</v>
      </c>
      <c r="B50" s="84" t="s">
        <v>603</v>
      </c>
      <c r="C50" s="82" t="s">
        <v>888</v>
      </c>
      <c r="D50" s="83" t="s">
        <v>605</v>
      </c>
      <c r="E50" s="82" t="s">
        <v>606</v>
      </c>
      <c r="F50" s="82" t="s">
        <v>607</v>
      </c>
    </row>
    <row r="51" spans="1:6" ht="27.95" customHeight="1">
      <c r="A51" s="82" t="s">
        <v>1983</v>
      </c>
      <c r="B51" s="85" t="s">
        <v>619</v>
      </c>
      <c r="C51" s="82" t="s">
        <v>650</v>
      </c>
      <c r="D51" s="83" t="s">
        <v>605</v>
      </c>
      <c r="E51" s="82" t="s">
        <v>651</v>
      </c>
      <c r="F51" s="82" t="s">
        <v>607</v>
      </c>
    </row>
    <row r="52" spans="1:6" ht="27.95" customHeight="1">
      <c r="A52" s="82" t="s">
        <v>1984</v>
      </c>
      <c r="B52" s="85" t="s">
        <v>619</v>
      </c>
      <c r="C52" s="82" t="s">
        <v>650</v>
      </c>
      <c r="D52" s="83" t="s">
        <v>605</v>
      </c>
      <c r="E52" s="82" t="s">
        <v>651</v>
      </c>
      <c r="F52" s="82" t="s">
        <v>607</v>
      </c>
    </row>
    <row r="53" spans="1:6" ht="27.95" customHeight="1">
      <c r="A53" s="82" t="s">
        <v>1985</v>
      </c>
      <c r="B53" s="85" t="s">
        <v>619</v>
      </c>
      <c r="C53" s="82" t="s">
        <v>650</v>
      </c>
      <c r="D53" s="83" t="s">
        <v>605</v>
      </c>
      <c r="E53" s="82" t="s">
        <v>651</v>
      </c>
      <c r="F53" s="82" t="s">
        <v>607</v>
      </c>
    </row>
    <row r="54" spans="1:6" ht="27.95" customHeight="1">
      <c r="A54" s="82" t="s">
        <v>1986</v>
      </c>
      <c r="B54" s="84" t="s">
        <v>603</v>
      </c>
      <c r="C54" s="82" t="s">
        <v>1987</v>
      </c>
      <c r="D54" s="83" t="s">
        <v>605</v>
      </c>
      <c r="E54" s="82" t="s">
        <v>683</v>
      </c>
      <c r="F54" s="82" t="s">
        <v>1988</v>
      </c>
    </row>
    <row r="55" spans="1:6" ht="27.95" customHeight="1">
      <c r="A55" s="82" t="s">
        <v>1989</v>
      </c>
      <c r="B55" s="85" t="s">
        <v>619</v>
      </c>
      <c r="C55" s="82" t="s">
        <v>650</v>
      </c>
      <c r="D55" s="83" t="s">
        <v>605</v>
      </c>
      <c r="E55" s="82" t="s">
        <v>651</v>
      </c>
      <c r="F55" s="82" t="s">
        <v>607</v>
      </c>
    </row>
    <row r="56" spans="1:6" ht="27.95" customHeight="1">
      <c r="A56" s="82" t="s">
        <v>1990</v>
      </c>
      <c r="B56" s="84" t="s">
        <v>603</v>
      </c>
      <c r="C56" s="82" t="s">
        <v>1991</v>
      </c>
      <c r="D56" s="83" t="s">
        <v>605</v>
      </c>
      <c r="E56" s="82" t="s">
        <v>1992</v>
      </c>
      <c r="F56" s="82" t="s">
        <v>607</v>
      </c>
    </row>
    <row r="57" spans="1:6" ht="27.95" customHeight="1">
      <c r="A57" s="82" t="s">
        <v>1993</v>
      </c>
      <c r="B57" s="85" t="s">
        <v>619</v>
      </c>
      <c r="C57" s="82" t="s">
        <v>650</v>
      </c>
      <c r="D57" s="83" t="s">
        <v>605</v>
      </c>
      <c r="E57" s="82" t="s">
        <v>651</v>
      </c>
      <c r="F57" s="82" t="s">
        <v>607</v>
      </c>
    </row>
    <row r="58" spans="1:6" ht="27.95" customHeight="1">
      <c r="A58" s="82" t="s">
        <v>1994</v>
      </c>
      <c r="B58" s="85" t="s">
        <v>619</v>
      </c>
      <c r="C58" s="82" t="s">
        <v>650</v>
      </c>
      <c r="D58" s="83" t="s">
        <v>605</v>
      </c>
      <c r="E58" s="82" t="s">
        <v>651</v>
      </c>
      <c r="F58" s="82" t="s">
        <v>607</v>
      </c>
    </row>
    <row r="59" spans="1:6" ht="27.95" customHeight="1">
      <c r="A59" s="82" t="s">
        <v>1995</v>
      </c>
      <c r="B59" s="85" t="s">
        <v>619</v>
      </c>
      <c r="C59" s="82" t="s">
        <v>1996</v>
      </c>
      <c r="D59" s="83" t="s">
        <v>605</v>
      </c>
      <c r="E59" s="82" t="s">
        <v>620</v>
      </c>
      <c r="F59" s="82" t="s">
        <v>1431</v>
      </c>
    </row>
    <row r="60" spans="1:6" ht="27.95" customHeight="1">
      <c r="A60" s="82" t="s">
        <v>113</v>
      </c>
      <c r="B60" s="84" t="s">
        <v>603</v>
      </c>
      <c r="C60" s="82" t="s">
        <v>1997</v>
      </c>
      <c r="D60" s="83" t="s">
        <v>605</v>
      </c>
      <c r="E60" s="82" t="s">
        <v>610</v>
      </c>
      <c r="F60" s="82" t="s">
        <v>1431</v>
      </c>
    </row>
    <row r="61" spans="1:6" ht="27.95" customHeight="1">
      <c r="A61" s="82" t="s">
        <v>1998</v>
      </c>
      <c r="B61" s="85" t="s">
        <v>619</v>
      </c>
      <c r="C61" s="82" t="s">
        <v>650</v>
      </c>
      <c r="D61" s="83" t="s">
        <v>605</v>
      </c>
      <c r="E61" s="82" t="s">
        <v>651</v>
      </c>
      <c r="F61" s="82" t="s">
        <v>607</v>
      </c>
    </row>
    <row r="62" spans="1:6" ht="27.95" customHeight="1">
      <c r="A62" s="82" t="s">
        <v>1999</v>
      </c>
      <c r="B62" s="85" t="s">
        <v>619</v>
      </c>
      <c r="C62" s="82" t="s">
        <v>650</v>
      </c>
      <c r="D62" s="83" t="s">
        <v>605</v>
      </c>
      <c r="E62" s="82" t="s">
        <v>651</v>
      </c>
      <c r="F62" s="82" t="s">
        <v>607</v>
      </c>
    </row>
    <row r="63" spans="1:6" ht="27.95" customHeight="1">
      <c r="A63" s="82" t="s">
        <v>2000</v>
      </c>
      <c r="B63" s="84" t="s">
        <v>603</v>
      </c>
      <c r="C63" s="82" t="s">
        <v>2001</v>
      </c>
      <c r="D63" s="83" t="s">
        <v>605</v>
      </c>
      <c r="E63" s="82" t="s">
        <v>606</v>
      </c>
      <c r="F63" s="82" t="s">
        <v>607</v>
      </c>
    </row>
    <row r="64" spans="1:6" ht="27.95" customHeight="1">
      <c r="A64" s="82" t="s">
        <v>2002</v>
      </c>
      <c r="B64" s="85" t="s">
        <v>619</v>
      </c>
      <c r="C64" s="82" t="s">
        <v>650</v>
      </c>
      <c r="D64" s="83" t="s">
        <v>605</v>
      </c>
      <c r="E64" s="82" t="s">
        <v>651</v>
      </c>
      <c r="F64" s="82" t="s">
        <v>607</v>
      </c>
    </row>
    <row r="65" spans="1:6" ht="27.95" customHeight="1">
      <c r="A65" s="82" t="s">
        <v>2003</v>
      </c>
      <c r="B65" s="84" t="s">
        <v>603</v>
      </c>
      <c r="C65" s="82" t="s">
        <v>2004</v>
      </c>
      <c r="D65" s="83" t="s">
        <v>605</v>
      </c>
      <c r="E65" s="82" t="s">
        <v>606</v>
      </c>
      <c r="F65" s="82" t="s">
        <v>691</v>
      </c>
    </row>
    <row r="66" spans="1:6" ht="27.95" customHeight="1">
      <c r="A66" s="82" t="s">
        <v>2005</v>
      </c>
      <c r="B66" s="85" t="s">
        <v>619</v>
      </c>
      <c r="C66" s="82" t="s">
        <v>650</v>
      </c>
      <c r="D66" s="83" t="s">
        <v>605</v>
      </c>
      <c r="E66" s="82" t="s">
        <v>651</v>
      </c>
      <c r="F66" s="82" t="s">
        <v>607</v>
      </c>
    </row>
    <row r="67" spans="1:6" ht="27.95" customHeight="1">
      <c r="A67" s="82" t="s">
        <v>2006</v>
      </c>
      <c r="B67" s="85" t="s">
        <v>619</v>
      </c>
      <c r="C67" s="82" t="s">
        <v>650</v>
      </c>
      <c r="D67" s="83" t="s">
        <v>605</v>
      </c>
      <c r="E67" s="82" t="s">
        <v>651</v>
      </c>
      <c r="F67" s="82" t="s">
        <v>607</v>
      </c>
    </row>
    <row r="68" spans="1:6" ht="27.95" customHeight="1">
      <c r="A68" s="82" t="s">
        <v>2007</v>
      </c>
      <c r="B68" s="85" t="s">
        <v>619</v>
      </c>
      <c r="C68" s="82" t="s">
        <v>650</v>
      </c>
      <c r="D68" s="83" t="s">
        <v>605</v>
      </c>
      <c r="E68" s="82" t="s">
        <v>651</v>
      </c>
      <c r="F68" s="82" t="s">
        <v>607</v>
      </c>
    </row>
    <row r="69" spans="1:6" ht="27.95" customHeight="1">
      <c r="A69" s="82" t="s">
        <v>2008</v>
      </c>
      <c r="B69" s="84" t="s">
        <v>603</v>
      </c>
      <c r="C69" s="82" t="s">
        <v>609</v>
      </c>
      <c r="D69" s="83" t="s">
        <v>605</v>
      </c>
      <c r="E69" s="82" t="s">
        <v>606</v>
      </c>
      <c r="F69" s="82" t="s">
        <v>607</v>
      </c>
    </row>
    <row r="70" spans="1:6" ht="27.95" customHeight="1">
      <c r="A70" s="82" t="s">
        <v>2009</v>
      </c>
      <c r="B70" s="84" t="s">
        <v>603</v>
      </c>
      <c r="C70" s="82" t="s">
        <v>650</v>
      </c>
      <c r="D70" s="83" t="s">
        <v>605</v>
      </c>
      <c r="E70" s="82" t="s">
        <v>688</v>
      </c>
      <c r="F70" s="82" t="s">
        <v>607</v>
      </c>
    </row>
    <row r="71" spans="1:6" ht="27.95" customHeight="1">
      <c r="A71" s="82" t="s">
        <v>2010</v>
      </c>
      <c r="B71" s="84" t="s">
        <v>603</v>
      </c>
      <c r="C71" s="82" t="s">
        <v>2011</v>
      </c>
      <c r="D71" s="83" t="s">
        <v>605</v>
      </c>
      <c r="E71" s="82" t="s">
        <v>610</v>
      </c>
      <c r="F71" s="82" t="s">
        <v>691</v>
      </c>
    </row>
    <row r="72" spans="1:6" ht="27.95" customHeight="1">
      <c r="A72" s="82" t="s">
        <v>2012</v>
      </c>
      <c r="B72" s="84" t="s">
        <v>603</v>
      </c>
      <c r="C72" s="82" t="s">
        <v>2013</v>
      </c>
      <c r="D72" s="83" t="s">
        <v>605</v>
      </c>
      <c r="E72" s="82" t="s">
        <v>1683</v>
      </c>
      <c r="F72" s="82" t="s">
        <v>637</v>
      </c>
    </row>
    <row r="73" spans="1:6" ht="27.95" customHeight="1">
      <c r="A73" s="82" t="s">
        <v>2014</v>
      </c>
      <c r="B73" s="85" t="s">
        <v>619</v>
      </c>
      <c r="C73" s="82" t="s">
        <v>2015</v>
      </c>
      <c r="D73" s="83" t="s">
        <v>605</v>
      </c>
      <c r="E73" s="82" t="s">
        <v>876</v>
      </c>
      <c r="F73" s="82" t="s">
        <v>1627</v>
      </c>
    </row>
    <row r="74" spans="1:6" ht="27.95" customHeight="1">
      <c r="A74" s="82" t="s">
        <v>2016</v>
      </c>
      <c r="B74" s="85" t="s">
        <v>619</v>
      </c>
      <c r="C74" s="82" t="s">
        <v>650</v>
      </c>
      <c r="D74" s="83" t="s">
        <v>605</v>
      </c>
      <c r="E74" s="82" t="s">
        <v>651</v>
      </c>
      <c r="F74" s="82" t="s">
        <v>607</v>
      </c>
    </row>
    <row r="75" spans="1:6" ht="27.95" customHeight="1">
      <c r="A75" s="82" t="s">
        <v>2017</v>
      </c>
      <c r="B75" s="85" t="s">
        <v>619</v>
      </c>
      <c r="C75" s="82" t="s">
        <v>650</v>
      </c>
      <c r="D75" s="83" t="s">
        <v>605</v>
      </c>
      <c r="E75" s="82" t="s">
        <v>651</v>
      </c>
      <c r="F75" s="82" t="s">
        <v>607</v>
      </c>
    </row>
    <row r="76" spans="1:6" ht="27.95" customHeight="1">
      <c r="A76" s="82" t="s">
        <v>2018</v>
      </c>
      <c r="B76" s="85" t="s">
        <v>619</v>
      </c>
      <c r="C76" s="90" t="s">
        <v>650</v>
      </c>
      <c r="D76" s="91" t="s">
        <v>605</v>
      </c>
      <c r="E76" s="82" t="s">
        <v>651</v>
      </c>
      <c r="F76" s="82" t="s">
        <v>607</v>
      </c>
    </row>
    <row r="77" spans="1:6" ht="27.95" customHeight="1">
      <c r="A77" s="82" t="s">
        <v>2019</v>
      </c>
      <c r="B77" s="84" t="s">
        <v>603</v>
      </c>
      <c r="C77" s="90" t="s">
        <v>650</v>
      </c>
      <c r="D77" s="91" t="s">
        <v>605</v>
      </c>
      <c r="E77" s="82" t="s">
        <v>688</v>
      </c>
      <c r="F77" s="82" t="s">
        <v>607</v>
      </c>
    </row>
    <row r="78" spans="1:6" ht="27.95" customHeight="1">
      <c r="A78" s="82" t="s">
        <v>2020</v>
      </c>
      <c r="B78" s="85" t="s">
        <v>619</v>
      </c>
      <c r="C78" s="90" t="s">
        <v>650</v>
      </c>
      <c r="D78" s="91" t="s">
        <v>605</v>
      </c>
      <c r="E78" s="82" t="s">
        <v>651</v>
      </c>
      <c r="F78" s="82" t="s">
        <v>607</v>
      </c>
    </row>
    <row r="79" spans="1:6" ht="27.95" customHeight="1">
      <c r="A79" s="82" t="s">
        <v>2021</v>
      </c>
      <c r="B79" s="85" t="s">
        <v>619</v>
      </c>
      <c r="C79" s="90" t="s">
        <v>650</v>
      </c>
      <c r="D79" s="91" t="s">
        <v>605</v>
      </c>
      <c r="E79" s="82" t="s">
        <v>651</v>
      </c>
      <c r="F79" s="82" t="s">
        <v>607</v>
      </c>
    </row>
    <row r="80" spans="1:6" ht="27.95" customHeight="1">
      <c r="A80" s="82" t="s">
        <v>2022</v>
      </c>
      <c r="B80" s="85" t="s">
        <v>619</v>
      </c>
      <c r="C80" s="90" t="s">
        <v>888</v>
      </c>
      <c r="D80" s="91" t="s">
        <v>605</v>
      </c>
      <c r="E80" s="82" t="s">
        <v>620</v>
      </c>
      <c r="F80" s="82" t="s">
        <v>607</v>
      </c>
    </row>
    <row r="81" spans="1:6" ht="27.95" customHeight="1">
      <c r="A81" s="82" t="s">
        <v>2023</v>
      </c>
      <c r="B81" s="84" t="s">
        <v>603</v>
      </c>
      <c r="C81" s="90" t="s">
        <v>609</v>
      </c>
      <c r="D81" s="91" t="s">
        <v>605</v>
      </c>
      <c r="E81" s="82" t="s">
        <v>911</v>
      </c>
      <c r="F81" s="82" t="s">
        <v>2024</v>
      </c>
    </row>
    <row r="82" spans="1:6" ht="27.95" customHeight="1">
      <c r="A82" s="82" t="s">
        <v>2025</v>
      </c>
      <c r="B82" s="84" t="s">
        <v>603</v>
      </c>
      <c r="C82" s="82" t="s">
        <v>1741</v>
      </c>
      <c r="D82" s="83" t="s">
        <v>605</v>
      </c>
      <c r="E82" s="82" t="s">
        <v>610</v>
      </c>
      <c r="F82" s="82" t="s">
        <v>2026</v>
      </c>
    </row>
    <row r="83" spans="1:6" ht="27.95" customHeight="1">
      <c r="A83" s="82" t="s">
        <v>2027</v>
      </c>
      <c r="B83" s="84" t="s">
        <v>603</v>
      </c>
      <c r="C83" s="82" t="s">
        <v>1666</v>
      </c>
      <c r="D83" s="83" t="s">
        <v>605</v>
      </c>
      <c r="E83" s="82" t="s">
        <v>610</v>
      </c>
      <c r="F83" s="82" t="s">
        <v>607</v>
      </c>
    </row>
    <row r="84" spans="1:6" ht="27.95" customHeight="1">
      <c r="A84" s="82" t="s">
        <v>2028</v>
      </c>
      <c r="B84" s="84" t="s">
        <v>603</v>
      </c>
      <c r="C84" s="82" t="s">
        <v>843</v>
      </c>
      <c r="D84" s="83" t="s">
        <v>605</v>
      </c>
      <c r="E84" s="82" t="s">
        <v>606</v>
      </c>
      <c r="F84" s="82" t="s">
        <v>1385</v>
      </c>
    </row>
    <row r="85" spans="1:6" ht="27.95" customHeight="1">
      <c r="A85" s="82" t="s">
        <v>2029</v>
      </c>
      <c r="B85" s="84" t="s">
        <v>603</v>
      </c>
      <c r="C85" s="93" t="s">
        <v>793</v>
      </c>
      <c r="D85" s="83" t="s">
        <v>605</v>
      </c>
      <c r="E85" s="82" t="s">
        <v>610</v>
      </c>
      <c r="F85" s="82" t="s">
        <v>607</v>
      </c>
    </row>
    <row r="86" spans="1:6" ht="27.95" customHeight="1">
      <c r="A86" s="82" t="s">
        <v>2030</v>
      </c>
      <c r="B86" s="84" t="s">
        <v>603</v>
      </c>
      <c r="C86" s="93" t="s">
        <v>2031</v>
      </c>
      <c r="D86" s="83" t="s">
        <v>605</v>
      </c>
      <c r="E86" s="82" t="s">
        <v>610</v>
      </c>
      <c r="F86" s="82" t="s">
        <v>1434</v>
      </c>
    </row>
    <row r="87" spans="1:6" ht="27.95" customHeight="1">
      <c r="A87" s="82" t="s">
        <v>2032</v>
      </c>
      <c r="B87" s="85" t="s">
        <v>619</v>
      </c>
      <c r="C87" s="93" t="s">
        <v>650</v>
      </c>
      <c r="D87" s="83" t="s">
        <v>605</v>
      </c>
      <c r="E87" s="82" t="s">
        <v>651</v>
      </c>
      <c r="F87" s="82" t="s">
        <v>607</v>
      </c>
    </row>
    <row r="88" spans="1:6" ht="27.95" customHeight="1">
      <c r="A88" s="82" t="s">
        <v>2033</v>
      </c>
      <c r="B88" s="84" t="s">
        <v>603</v>
      </c>
      <c r="C88" s="82" t="s">
        <v>650</v>
      </c>
      <c r="D88" s="83" t="s">
        <v>605</v>
      </c>
      <c r="E88" s="82" t="s">
        <v>688</v>
      </c>
      <c r="F88" s="82" t="s">
        <v>607</v>
      </c>
    </row>
    <row r="89" spans="1:6" ht="27.95" customHeight="1">
      <c r="A89" s="82" t="s">
        <v>2034</v>
      </c>
      <c r="B89" s="85" t="s">
        <v>619</v>
      </c>
      <c r="C89" s="93" t="s">
        <v>650</v>
      </c>
      <c r="D89" s="83" t="s">
        <v>605</v>
      </c>
      <c r="E89" s="82" t="s">
        <v>651</v>
      </c>
      <c r="F89" s="82" t="s">
        <v>607</v>
      </c>
    </row>
    <row r="90" spans="1:6" ht="27.95" customHeight="1">
      <c r="A90" s="82" t="s">
        <v>2035</v>
      </c>
      <c r="B90" s="85" t="s">
        <v>619</v>
      </c>
      <c r="C90" s="93" t="s">
        <v>650</v>
      </c>
      <c r="D90" s="83" t="s">
        <v>605</v>
      </c>
      <c r="E90" s="82" t="s">
        <v>651</v>
      </c>
      <c r="F90" s="82" t="s">
        <v>607</v>
      </c>
    </row>
    <row r="91" spans="1:6" ht="27.95" customHeight="1">
      <c r="A91" s="82" t="s">
        <v>2036</v>
      </c>
      <c r="B91" s="85" t="s">
        <v>619</v>
      </c>
      <c r="C91" s="93" t="s">
        <v>650</v>
      </c>
      <c r="D91" s="83" t="s">
        <v>605</v>
      </c>
      <c r="E91" s="82" t="s">
        <v>651</v>
      </c>
      <c r="F91" s="82" t="s">
        <v>607</v>
      </c>
    </row>
    <row r="93" spans="1:6" ht="15">
      <c r="C93" s="88" t="s">
        <v>633</v>
      </c>
      <c r="D93" s="89" t="str">
        <f>COUNTIF(D2:D91,"☑")&amp;" / "&amp;COUNTA(A2:A91)</f>
        <v>0 / 90</v>
      </c>
    </row>
  </sheetData>
  <conditionalFormatting sqref="B2:B74">
    <cfRule type="expression" dxfId="82" priority="1">
      <formula>B2="A"</formula>
    </cfRule>
    <cfRule type="expression" dxfId="81" priority="2">
      <formula>B2="B"</formula>
    </cfRule>
    <cfRule type="expression" dxfId="80" priority="3">
      <formula>B2="C"</formula>
    </cfRule>
  </conditionalFormatting>
  <conditionalFormatting sqref="D2:D89">
    <cfRule type="expression" dxfId="79" priority="4">
      <formula>D2="☑"</formula>
    </cfRule>
  </conditionalFormatting>
  <conditionalFormatting sqref="D2:D91">
    <cfRule type="expression" dxfId="78" priority="20">
      <formula>D2="☑"</formula>
    </cfRule>
  </conditionalFormatting>
  <dataValidations count="1">
    <dataValidation type="list" sqref="D2:D91" xr:uid="{00000000-0002-0000-1600-000000000000}">
      <formula1>"☐,☑"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87"/>
  <sheetViews>
    <sheetView workbookViewId="0"/>
  </sheetViews>
  <sheetFormatPr defaultRowHeight="14.25"/>
  <cols>
    <col min="1" max="1" width="34" customWidth="1"/>
    <col min="2" max="2" width="10" customWidth="1"/>
    <col min="3" max="3" width="50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81" t="s">
        <v>598</v>
      </c>
      <c r="B1" s="81" t="s">
        <v>599</v>
      </c>
      <c r="C1" s="81" t="s">
        <v>13</v>
      </c>
      <c r="D1" s="81" t="s">
        <v>3</v>
      </c>
      <c r="E1" s="81" t="s">
        <v>600</v>
      </c>
      <c r="F1" s="81" t="s">
        <v>601</v>
      </c>
    </row>
    <row r="2" spans="1:6" ht="27.95" customHeight="1">
      <c r="A2" s="82" t="s">
        <v>2037</v>
      </c>
      <c r="B2" s="85" t="s">
        <v>619</v>
      </c>
      <c r="C2" s="82" t="s">
        <v>2038</v>
      </c>
      <c r="D2" s="83" t="s">
        <v>605</v>
      </c>
      <c r="E2" s="82" t="s">
        <v>620</v>
      </c>
      <c r="F2" s="82" t="s">
        <v>1941</v>
      </c>
    </row>
    <row r="3" spans="1:6" ht="27.95" customHeight="1">
      <c r="A3" s="82" t="s">
        <v>2039</v>
      </c>
      <c r="B3" s="84" t="s">
        <v>603</v>
      </c>
      <c r="C3" s="82" t="s">
        <v>2040</v>
      </c>
      <c r="D3" s="83" t="s">
        <v>605</v>
      </c>
      <c r="E3" s="82" t="s">
        <v>606</v>
      </c>
      <c r="F3" s="82" t="s">
        <v>691</v>
      </c>
    </row>
    <row r="4" spans="1:6" ht="27.95" customHeight="1">
      <c r="A4" s="82" t="s">
        <v>2041</v>
      </c>
      <c r="B4" s="84" t="s">
        <v>603</v>
      </c>
      <c r="C4" s="82" t="s">
        <v>2042</v>
      </c>
      <c r="D4" s="83" t="s">
        <v>605</v>
      </c>
      <c r="E4" s="82" t="s">
        <v>606</v>
      </c>
      <c r="F4" s="82" t="s">
        <v>691</v>
      </c>
    </row>
    <row r="5" spans="1:6" ht="27.95" customHeight="1">
      <c r="A5" s="82" t="s">
        <v>2043</v>
      </c>
      <c r="B5" s="85" t="s">
        <v>619</v>
      </c>
      <c r="C5" s="82" t="s">
        <v>650</v>
      </c>
      <c r="D5" s="83" t="s">
        <v>605</v>
      </c>
      <c r="E5" s="82" t="s">
        <v>651</v>
      </c>
      <c r="F5" s="82" t="s">
        <v>607</v>
      </c>
    </row>
    <row r="6" spans="1:6" ht="27.95" customHeight="1">
      <c r="A6" s="82" t="s">
        <v>2044</v>
      </c>
      <c r="B6" s="84" t="s">
        <v>603</v>
      </c>
      <c r="C6" s="82" t="s">
        <v>629</v>
      </c>
      <c r="D6" s="83" t="s">
        <v>605</v>
      </c>
      <c r="E6" s="82" t="s">
        <v>610</v>
      </c>
      <c r="F6" s="82" t="s">
        <v>607</v>
      </c>
    </row>
    <row r="7" spans="1:6" ht="27.95" customHeight="1">
      <c r="A7" s="82" t="s">
        <v>2045</v>
      </c>
      <c r="B7" s="84" t="s">
        <v>603</v>
      </c>
      <c r="C7" s="82" t="s">
        <v>2046</v>
      </c>
      <c r="D7" s="83" t="s">
        <v>605</v>
      </c>
      <c r="E7" s="82" t="s">
        <v>2047</v>
      </c>
      <c r="F7" s="82" t="s">
        <v>2048</v>
      </c>
    </row>
    <row r="8" spans="1:6" ht="27.95" customHeight="1">
      <c r="A8" s="82" t="s">
        <v>2049</v>
      </c>
      <c r="B8" s="84" t="s">
        <v>603</v>
      </c>
      <c r="C8" s="82" t="s">
        <v>888</v>
      </c>
      <c r="D8" s="83" t="s">
        <v>605</v>
      </c>
      <c r="E8" s="82" t="s">
        <v>606</v>
      </c>
      <c r="F8" s="82" t="s">
        <v>607</v>
      </c>
    </row>
    <row r="9" spans="1:6" ht="27.95" customHeight="1">
      <c r="A9" s="82" t="s">
        <v>2050</v>
      </c>
      <c r="B9" s="84" t="s">
        <v>603</v>
      </c>
      <c r="C9" s="82" t="s">
        <v>2051</v>
      </c>
      <c r="D9" s="83" t="s">
        <v>605</v>
      </c>
      <c r="E9" s="82" t="s">
        <v>606</v>
      </c>
      <c r="F9" s="82" t="s">
        <v>870</v>
      </c>
    </row>
    <row r="10" spans="1:6" ht="27.95" customHeight="1">
      <c r="A10" s="82" t="s">
        <v>2052</v>
      </c>
      <c r="B10" s="85" t="s">
        <v>619</v>
      </c>
      <c r="C10" s="82" t="s">
        <v>650</v>
      </c>
      <c r="D10" s="83" t="s">
        <v>605</v>
      </c>
      <c r="E10" s="82" t="s">
        <v>651</v>
      </c>
      <c r="F10" s="82" t="s">
        <v>607</v>
      </c>
    </row>
    <row r="11" spans="1:6" ht="27.95" customHeight="1">
      <c r="A11" s="82" t="s">
        <v>2053</v>
      </c>
      <c r="B11" s="85" t="s">
        <v>619</v>
      </c>
      <c r="C11" s="82" t="s">
        <v>650</v>
      </c>
      <c r="D11" s="83" t="s">
        <v>605</v>
      </c>
      <c r="E11" s="82" t="s">
        <v>651</v>
      </c>
      <c r="F11" s="82" t="s">
        <v>607</v>
      </c>
    </row>
    <row r="12" spans="1:6" ht="27.95" customHeight="1">
      <c r="A12" s="82" t="s">
        <v>297</v>
      </c>
      <c r="B12" s="86" t="s">
        <v>615</v>
      </c>
      <c r="C12" s="82" t="s">
        <v>2054</v>
      </c>
      <c r="D12" s="83" t="s">
        <v>605</v>
      </c>
      <c r="E12" s="82" t="s">
        <v>2055</v>
      </c>
      <c r="F12" s="82" t="s">
        <v>2056</v>
      </c>
    </row>
    <row r="13" spans="1:6" ht="27.95" customHeight="1">
      <c r="A13" s="82" t="s">
        <v>2057</v>
      </c>
      <c r="B13" s="84" t="s">
        <v>603</v>
      </c>
      <c r="C13" s="82" t="s">
        <v>2058</v>
      </c>
      <c r="D13" s="83" t="s">
        <v>605</v>
      </c>
      <c r="E13" s="82" t="s">
        <v>2059</v>
      </c>
      <c r="F13" s="82" t="s">
        <v>2060</v>
      </c>
    </row>
    <row r="14" spans="1:6" ht="27.95" customHeight="1">
      <c r="A14" s="82" t="s">
        <v>2061</v>
      </c>
      <c r="B14" s="84" t="s">
        <v>603</v>
      </c>
      <c r="C14" s="82" t="s">
        <v>2062</v>
      </c>
      <c r="D14" s="83" t="s">
        <v>605</v>
      </c>
      <c r="E14" s="82" t="s">
        <v>610</v>
      </c>
      <c r="F14" s="82" t="s">
        <v>607</v>
      </c>
    </row>
    <row r="15" spans="1:6" ht="27.95" customHeight="1">
      <c r="A15" s="82" t="s">
        <v>2063</v>
      </c>
      <c r="B15" s="86" t="s">
        <v>615</v>
      </c>
      <c r="C15" s="82" t="s">
        <v>2064</v>
      </c>
      <c r="D15" s="83" t="s">
        <v>605</v>
      </c>
      <c r="E15" s="82" t="s">
        <v>630</v>
      </c>
      <c r="F15" s="82" t="s">
        <v>2048</v>
      </c>
    </row>
    <row r="16" spans="1:6" ht="27.95" customHeight="1">
      <c r="A16" s="82" t="s">
        <v>2065</v>
      </c>
      <c r="B16" s="84" t="s">
        <v>603</v>
      </c>
      <c r="C16" s="82" t="s">
        <v>650</v>
      </c>
      <c r="D16" s="83" t="s">
        <v>605</v>
      </c>
      <c r="E16" s="82" t="s">
        <v>688</v>
      </c>
      <c r="F16" s="82" t="s">
        <v>607</v>
      </c>
    </row>
    <row r="17" spans="1:6" ht="27.95" customHeight="1">
      <c r="A17" s="82" t="s">
        <v>2066</v>
      </c>
      <c r="B17" s="85" t="s">
        <v>619</v>
      </c>
      <c r="C17" s="82" t="s">
        <v>650</v>
      </c>
      <c r="D17" s="83" t="s">
        <v>605</v>
      </c>
      <c r="E17" s="82" t="s">
        <v>651</v>
      </c>
      <c r="F17" s="82" t="s">
        <v>607</v>
      </c>
    </row>
    <row r="18" spans="1:6" ht="27.95" customHeight="1">
      <c r="A18" s="82" t="s">
        <v>2067</v>
      </c>
      <c r="B18" s="85" t="s">
        <v>619</v>
      </c>
      <c r="C18" s="82" t="s">
        <v>888</v>
      </c>
      <c r="D18" s="83" t="s">
        <v>605</v>
      </c>
      <c r="E18" s="82" t="s">
        <v>620</v>
      </c>
      <c r="F18" s="82" t="s">
        <v>607</v>
      </c>
    </row>
    <row r="19" spans="1:6" ht="27.95" customHeight="1">
      <c r="A19" s="82" t="s">
        <v>2068</v>
      </c>
      <c r="B19" s="84" t="s">
        <v>603</v>
      </c>
      <c r="C19" s="82" t="s">
        <v>650</v>
      </c>
      <c r="D19" s="83" t="s">
        <v>605</v>
      </c>
      <c r="E19" s="82" t="s">
        <v>688</v>
      </c>
      <c r="F19" s="82" t="s">
        <v>607</v>
      </c>
    </row>
    <row r="20" spans="1:6" ht="27.95" customHeight="1">
      <c r="A20" s="82" t="s">
        <v>2069</v>
      </c>
      <c r="B20" s="85" t="s">
        <v>619</v>
      </c>
      <c r="C20" s="82" t="s">
        <v>650</v>
      </c>
      <c r="D20" s="83" t="s">
        <v>605</v>
      </c>
      <c r="E20" s="82" t="s">
        <v>651</v>
      </c>
      <c r="F20" s="82" t="s">
        <v>607</v>
      </c>
    </row>
    <row r="21" spans="1:6" ht="27.95" customHeight="1">
      <c r="A21" s="82" t="s">
        <v>2070</v>
      </c>
      <c r="B21" s="86" t="s">
        <v>615</v>
      </c>
      <c r="C21" s="82" t="s">
        <v>2071</v>
      </c>
      <c r="D21" s="83" t="s">
        <v>605</v>
      </c>
      <c r="E21" s="82" t="s">
        <v>617</v>
      </c>
      <c r="F21" s="82" t="s">
        <v>607</v>
      </c>
    </row>
    <row r="22" spans="1:6" ht="27.95" customHeight="1">
      <c r="A22" s="82" t="s">
        <v>2072</v>
      </c>
      <c r="B22" s="85" t="s">
        <v>619</v>
      </c>
      <c r="C22" s="82" t="s">
        <v>2073</v>
      </c>
      <c r="D22" s="83" t="s">
        <v>605</v>
      </c>
      <c r="E22" s="82" t="s">
        <v>2074</v>
      </c>
      <c r="F22" s="82" t="s">
        <v>637</v>
      </c>
    </row>
    <row r="23" spans="1:6" ht="27.95" customHeight="1">
      <c r="A23" s="82" t="s">
        <v>2075</v>
      </c>
      <c r="B23" s="85" t="s">
        <v>619</v>
      </c>
      <c r="C23" s="82" t="s">
        <v>930</v>
      </c>
      <c r="D23" s="83" t="s">
        <v>605</v>
      </c>
      <c r="E23" s="82" t="s">
        <v>620</v>
      </c>
      <c r="F23" s="82" t="s">
        <v>607</v>
      </c>
    </row>
    <row r="24" spans="1:6" ht="27.95" customHeight="1">
      <c r="A24" s="82" t="s">
        <v>2076</v>
      </c>
      <c r="B24" s="84" t="s">
        <v>603</v>
      </c>
      <c r="C24" s="82" t="s">
        <v>632</v>
      </c>
      <c r="D24" s="83" t="s">
        <v>605</v>
      </c>
      <c r="E24" s="82" t="s">
        <v>606</v>
      </c>
      <c r="F24" s="82" t="s">
        <v>607</v>
      </c>
    </row>
    <row r="25" spans="1:6" ht="27.95" customHeight="1">
      <c r="A25" s="82" t="s">
        <v>2077</v>
      </c>
      <c r="B25" s="85" t="s">
        <v>619</v>
      </c>
      <c r="C25" s="82" t="s">
        <v>650</v>
      </c>
      <c r="D25" s="83" t="s">
        <v>605</v>
      </c>
      <c r="E25" s="82" t="s">
        <v>651</v>
      </c>
      <c r="F25" s="82" t="s">
        <v>607</v>
      </c>
    </row>
    <row r="26" spans="1:6" ht="27.95" customHeight="1">
      <c r="A26" s="82" t="s">
        <v>2078</v>
      </c>
      <c r="B26" s="84" t="s">
        <v>603</v>
      </c>
      <c r="C26" s="82" t="s">
        <v>632</v>
      </c>
      <c r="D26" s="83" t="s">
        <v>605</v>
      </c>
      <c r="E26" s="82" t="s">
        <v>606</v>
      </c>
      <c r="F26" s="82" t="s">
        <v>607</v>
      </c>
    </row>
    <row r="27" spans="1:6" ht="27.95" customHeight="1">
      <c r="A27" s="82" t="s">
        <v>2079</v>
      </c>
      <c r="B27" s="85" t="s">
        <v>619</v>
      </c>
      <c r="C27" s="82" t="s">
        <v>930</v>
      </c>
      <c r="D27" s="83" t="s">
        <v>605</v>
      </c>
      <c r="E27" s="82" t="s">
        <v>620</v>
      </c>
      <c r="F27" s="82" t="s">
        <v>607</v>
      </c>
    </row>
    <row r="28" spans="1:6" ht="27.95" customHeight="1">
      <c r="A28" s="82" t="s">
        <v>2080</v>
      </c>
      <c r="B28" s="85" t="s">
        <v>619</v>
      </c>
      <c r="C28" s="82" t="s">
        <v>888</v>
      </c>
      <c r="D28" s="83" t="s">
        <v>605</v>
      </c>
      <c r="E28" s="82" t="s">
        <v>620</v>
      </c>
      <c r="F28" s="82" t="s">
        <v>607</v>
      </c>
    </row>
    <row r="29" spans="1:6" ht="27.95" customHeight="1">
      <c r="A29" s="82" t="s">
        <v>2081</v>
      </c>
      <c r="B29" s="85" t="s">
        <v>619</v>
      </c>
      <c r="C29" s="82" t="s">
        <v>650</v>
      </c>
      <c r="D29" s="83" t="s">
        <v>605</v>
      </c>
      <c r="E29" s="82" t="s">
        <v>651</v>
      </c>
      <c r="F29" s="82" t="s">
        <v>607</v>
      </c>
    </row>
    <row r="30" spans="1:6" ht="27.95" customHeight="1">
      <c r="A30" s="82" t="s">
        <v>2082</v>
      </c>
      <c r="B30" s="85" t="s">
        <v>619</v>
      </c>
      <c r="C30" s="82" t="s">
        <v>2083</v>
      </c>
      <c r="D30" s="83" t="s">
        <v>605</v>
      </c>
      <c r="E30" s="82" t="s">
        <v>620</v>
      </c>
      <c r="F30" s="82" t="s">
        <v>2084</v>
      </c>
    </row>
    <row r="31" spans="1:6" ht="27.95" customHeight="1">
      <c r="A31" s="82" t="s">
        <v>2085</v>
      </c>
      <c r="B31" s="84" t="s">
        <v>603</v>
      </c>
      <c r="C31" s="82" t="s">
        <v>2086</v>
      </c>
      <c r="D31" s="83" t="s">
        <v>605</v>
      </c>
      <c r="E31" s="82" t="s">
        <v>606</v>
      </c>
      <c r="F31" s="82" t="s">
        <v>691</v>
      </c>
    </row>
    <row r="32" spans="1:6" ht="27.95" customHeight="1">
      <c r="A32" s="82" t="s">
        <v>2087</v>
      </c>
      <c r="B32" s="85" t="s">
        <v>619</v>
      </c>
      <c r="C32" s="82" t="s">
        <v>650</v>
      </c>
      <c r="D32" s="83" t="s">
        <v>605</v>
      </c>
      <c r="E32" s="82" t="s">
        <v>651</v>
      </c>
      <c r="F32" s="82" t="s">
        <v>607</v>
      </c>
    </row>
    <row r="33" spans="1:6" ht="27.95" customHeight="1">
      <c r="A33" s="82" t="s">
        <v>2088</v>
      </c>
      <c r="B33" s="85" t="s">
        <v>619</v>
      </c>
      <c r="C33" s="82" t="s">
        <v>650</v>
      </c>
      <c r="D33" s="83" t="s">
        <v>605</v>
      </c>
      <c r="E33" s="82" t="s">
        <v>651</v>
      </c>
      <c r="F33" s="82" t="s">
        <v>607</v>
      </c>
    </row>
    <row r="34" spans="1:6" ht="27.95" customHeight="1">
      <c r="A34" s="82" t="s">
        <v>2089</v>
      </c>
      <c r="B34" s="84" t="s">
        <v>603</v>
      </c>
      <c r="C34" s="82" t="s">
        <v>2090</v>
      </c>
      <c r="D34" s="83" t="s">
        <v>605</v>
      </c>
      <c r="E34" s="82" t="s">
        <v>606</v>
      </c>
      <c r="F34" s="82" t="s">
        <v>1514</v>
      </c>
    </row>
    <row r="35" spans="1:6" ht="27.95" customHeight="1">
      <c r="A35" s="82" t="s">
        <v>2091</v>
      </c>
      <c r="B35" s="84" t="s">
        <v>603</v>
      </c>
      <c r="C35" s="82" t="s">
        <v>2092</v>
      </c>
      <c r="D35" s="83" t="s">
        <v>605</v>
      </c>
      <c r="E35" s="82" t="s">
        <v>610</v>
      </c>
      <c r="F35" s="82" t="s">
        <v>607</v>
      </c>
    </row>
    <row r="36" spans="1:6" ht="27.95" customHeight="1">
      <c r="A36" s="82" t="s">
        <v>2093</v>
      </c>
      <c r="B36" s="85" t="s">
        <v>619</v>
      </c>
      <c r="C36" s="82" t="s">
        <v>650</v>
      </c>
      <c r="D36" s="83" t="s">
        <v>605</v>
      </c>
      <c r="E36" s="82" t="s">
        <v>651</v>
      </c>
      <c r="F36" s="82" t="s">
        <v>607</v>
      </c>
    </row>
    <row r="37" spans="1:6" ht="27.95" customHeight="1">
      <c r="A37" s="82" t="s">
        <v>2094</v>
      </c>
      <c r="B37" s="85" t="s">
        <v>619</v>
      </c>
      <c r="C37" s="82" t="s">
        <v>650</v>
      </c>
      <c r="D37" s="83" t="s">
        <v>605</v>
      </c>
      <c r="E37" s="82" t="s">
        <v>651</v>
      </c>
      <c r="F37" s="82" t="s">
        <v>607</v>
      </c>
    </row>
    <row r="38" spans="1:6" ht="27.95" customHeight="1">
      <c r="A38" s="82" t="s">
        <v>2095</v>
      </c>
      <c r="B38" s="85" t="s">
        <v>619</v>
      </c>
      <c r="C38" s="82" t="s">
        <v>650</v>
      </c>
      <c r="D38" s="83" t="s">
        <v>605</v>
      </c>
      <c r="E38" s="82" t="s">
        <v>651</v>
      </c>
      <c r="F38" s="82" t="s">
        <v>607</v>
      </c>
    </row>
    <row r="39" spans="1:6" ht="27.95" customHeight="1">
      <c r="A39" s="82" t="s">
        <v>2096</v>
      </c>
      <c r="B39" s="85" t="s">
        <v>619</v>
      </c>
      <c r="C39" s="82" t="s">
        <v>650</v>
      </c>
      <c r="D39" s="83" t="s">
        <v>605</v>
      </c>
      <c r="E39" s="82" t="s">
        <v>651</v>
      </c>
      <c r="F39" s="82" t="s">
        <v>607</v>
      </c>
    </row>
    <row r="40" spans="1:6" ht="27.95" customHeight="1">
      <c r="A40" s="82" t="s">
        <v>114</v>
      </c>
      <c r="B40" s="84" t="s">
        <v>603</v>
      </c>
      <c r="C40" s="82" t="s">
        <v>604</v>
      </c>
      <c r="D40" s="83" t="s">
        <v>605</v>
      </c>
      <c r="E40" s="82" t="s">
        <v>610</v>
      </c>
      <c r="F40" s="82" t="s">
        <v>1385</v>
      </c>
    </row>
    <row r="41" spans="1:6" ht="27.95" customHeight="1">
      <c r="A41" s="82" t="s">
        <v>2097</v>
      </c>
      <c r="B41" s="85" t="s">
        <v>619</v>
      </c>
      <c r="C41" s="82" t="s">
        <v>650</v>
      </c>
      <c r="D41" s="83" t="s">
        <v>605</v>
      </c>
      <c r="E41" s="82" t="s">
        <v>651</v>
      </c>
      <c r="F41" s="82" t="s">
        <v>607</v>
      </c>
    </row>
    <row r="42" spans="1:6" ht="27.95" customHeight="1">
      <c r="A42" s="82" t="s">
        <v>2098</v>
      </c>
      <c r="B42" s="84" t="s">
        <v>603</v>
      </c>
      <c r="C42" s="82" t="s">
        <v>2099</v>
      </c>
      <c r="D42" s="83" t="s">
        <v>605</v>
      </c>
      <c r="E42" s="82" t="s">
        <v>2100</v>
      </c>
      <c r="F42" s="82" t="s">
        <v>2101</v>
      </c>
    </row>
    <row r="43" spans="1:6" ht="27.95" customHeight="1">
      <c r="A43" s="82" t="s">
        <v>2102</v>
      </c>
      <c r="B43" s="84" t="s">
        <v>603</v>
      </c>
      <c r="C43" s="82" t="s">
        <v>650</v>
      </c>
      <c r="D43" s="83" t="s">
        <v>605</v>
      </c>
      <c r="E43" s="82" t="s">
        <v>688</v>
      </c>
      <c r="F43" s="82" t="s">
        <v>607</v>
      </c>
    </row>
    <row r="44" spans="1:6" ht="27.95" customHeight="1">
      <c r="A44" s="82" t="s">
        <v>2103</v>
      </c>
      <c r="B44" s="84" t="s">
        <v>603</v>
      </c>
      <c r="C44" s="82" t="s">
        <v>1666</v>
      </c>
      <c r="D44" s="83" t="s">
        <v>605</v>
      </c>
      <c r="E44" s="82" t="s">
        <v>610</v>
      </c>
      <c r="F44" s="82" t="s">
        <v>607</v>
      </c>
    </row>
    <row r="45" spans="1:6" ht="27.95" customHeight="1">
      <c r="A45" s="82" t="s">
        <v>2104</v>
      </c>
      <c r="B45" s="84" t="s">
        <v>603</v>
      </c>
      <c r="C45" s="82" t="s">
        <v>2105</v>
      </c>
      <c r="D45" s="83" t="s">
        <v>605</v>
      </c>
      <c r="E45" s="82" t="s">
        <v>1230</v>
      </c>
      <c r="F45" s="82" t="s">
        <v>691</v>
      </c>
    </row>
    <row r="46" spans="1:6" ht="27.95" customHeight="1">
      <c r="A46" s="82" t="s">
        <v>2106</v>
      </c>
      <c r="B46" s="84" t="s">
        <v>603</v>
      </c>
      <c r="C46" s="82" t="s">
        <v>650</v>
      </c>
      <c r="D46" s="83" t="s">
        <v>605</v>
      </c>
      <c r="E46" s="82" t="s">
        <v>688</v>
      </c>
      <c r="F46" s="82" t="s">
        <v>607</v>
      </c>
    </row>
    <row r="47" spans="1:6" ht="27.95" customHeight="1">
      <c r="A47" s="82" t="s">
        <v>2107</v>
      </c>
      <c r="B47" s="84" t="s">
        <v>603</v>
      </c>
      <c r="C47" s="82" t="s">
        <v>2108</v>
      </c>
      <c r="D47" s="83" t="s">
        <v>605</v>
      </c>
      <c r="E47" s="82" t="s">
        <v>683</v>
      </c>
      <c r="F47" s="82" t="s">
        <v>2109</v>
      </c>
    </row>
    <row r="48" spans="1:6" ht="27.95" customHeight="1">
      <c r="A48" s="82" t="s">
        <v>2110</v>
      </c>
      <c r="B48" s="85" t="s">
        <v>619</v>
      </c>
      <c r="C48" s="82" t="s">
        <v>650</v>
      </c>
      <c r="D48" s="83" t="s">
        <v>605</v>
      </c>
      <c r="E48" s="82" t="s">
        <v>651</v>
      </c>
      <c r="F48" s="82" t="s">
        <v>607</v>
      </c>
    </row>
    <row r="49" spans="1:6" ht="27.95" customHeight="1">
      <c r="A49" s="82" t="s">
        <v>2111</v>
      </c>
      <c r="B49" s="85" t="s">
        <v>619</v>
      </c>
      <c r="C49" s="82" t="s">
        <v>650</v>
      </c>
      <c r="D49" s="83" t="s">
        <v>605</v>
      </c>
      <c r="E49" s="82" t="s">
        <v>651</v>
      </c>
      <c r="F49" s="82" t="s">
        <v>607</v>
      </c>
    </row>
    <row r="50" spans="1:6" ht="27.95" customHeight="1">
      <c r="A50" s="82" t="s">
        <v>2112</v>
      </c>
      <c r="B50" s="84" t="s">
        <v>603</v>
      </c>
      <c r="C50" s="82" t="s">
        <v>2113</v>
      </c>
      <c r="D50" s="83" t="s">
        <v>605</v>
      </c>
      <c r="E50" s="82" t="s">
        <v>610</v>
      </c>
      <c r="F50" s="82" t="s">
        <v>1431</v>
      </c>
    </row>
    <row r="51" spans="1:6" ht="27.95" customHeight="1">
      <c r="A51" s="82" t="s">
        <v>2114</v>
      </c>
      <c r="B51" s="85" t="s">
        <v>619</v>
      </c>
      <c r="C51" s="82" t="s">
        <v>650</v>
      </c>
      <c r="D51" s="83" t="s">
        <v>605</v>
      </c>
      <c r="E51" s="82" t="s">
        <v>651</v>
      </c>
      <c r="F51" s="82" t="s">
        <v>607</v>
      </c>
    </row>
    <row r="52" spans="1:6" ht="27.95" customHeight="1">
      <c r="A52" s="82" t="s">
        <v>2115</v>
      </c>
      <c r="B52" s="85" t="s">
        <v>619</v>
      </c>
      <c r="C52" s="82" t="s">
        <v>650</v>
      </c>
      <c r="D52" s="83" t="s">
        <v>605</v>
      </c>
      <c r="E52" s="82" t="s">
        <v>651</v>
      </c>
      <c r="F52" s="82" t="s">
        <v>607</v>
      </c>
    </row>
    <row r="53" spans="1:6" ht="27.95" customHeight="1">
      <c r="A53" s="82" t="s">
        <v>2116</v>
      </c>
      <c r="B53" s="84" t="s">
        <v>603</v>
      </c>
      <c r="C53" s="82" t="s">
        <v>650</v>
      </c>
      <c r="D53" s="83" t="s">
        <v>605</v>
      </c>
      <c r="E53" s="82" t="s">
        <v>688</v>
      </c>
      <c r="F53" s="82" t="s">
        <v>607</v>
      </c>
    </row>
    <row r="54" spans="1:6" ht="27.95" customHeight="1">
      <c r="A54" s="82" t="s">
        <v>2117</v>
      </c>
      <c r="B54" s="84" t="s">
        <v>603</v>
      </c>
      <c r="C54" s="82" t="s">
        <v>650</v>
      </c>
      <c r="D54" s="83" t="s">
        <v>605</v>
      </c>
      <c r="E54" s="82" t="s">
        <v>688</v>
      </c>
      <c r="F54" s="82" t="s">
        <v>607</v>
      </c>
    </row>
    <row r="55" spans="1:6" ht="27.95" customHeight="1">
      <c r="A55" s="82" t="s">
        <v>2118</v>
      </c>
      <c r="B55" s="85" t="s">
        <v>619</v>
      </c>
      <c r="C55" s="82" t="s">
        <v>650</v>
      </c>
      <c r="D55" s="83" t="s">
        <v>605</v>
      </c>
      <c r="E55" s="82" t="s">
        <v>651</v>
      </c>
      <c r="F55" s="82" t="s">
        <v>607</v>
      </c>
    </row>
    <row r="56" spans="1:6" ht="27.95" customHeight="1">
      <c r="A56" s="82" t="s">
        <v>2119</v>
      </c>
      <c r="B56" s="84" t="s">
        <v>603</v>
      </c>
      <c r="C56" s="82" t="s">
        <v>2120</v>
      </c>
      <c r="D56" s="83" t="s">
        <v>605</v>
      </c>
      <c r="E56" s="82" t="s">
        <v>606</v>
      </c>
      <c r="F56" s="82" t="s">
        <v>691</v>
      </c>
    </row>
    <row r="57" spans="1:6" ht="27.95" customHeight="1">
      <c r="A57" s="82" t="s">
        <v>2121</v>
      </c>
      <c r="B57" s="84" t="s">
        <v>603</v>
      </c>
      <c r="C57" s="82" t="s">
        <v>2122</v>
      </c>
      <c r="D57" s="83" t="s">
        <v>605</v>
      </c>
      <c r="E57" s="82" t="s">
        <v>636</v>
      </c>
      <c r="F57" s="82" t="s">
        <v>637</v>
      </c>
    </row>
    <row r="58" spans="1:6" ht="27.95" customHeight="1">
      <c r="A58" s="82" t="s">
        <v>2123</v>
      </c>
      <c r="B58" s="84" t="s">
        <v>603</v>
      </c>
      <c r="C58" s="82" t="s">
        <v>2124</v>
      </c>
      <c r="D58" s="83" t="s">
        <v>605</v>
      </c>
      <c r="E58" s="82" t="s">
        <v>606</v>
      </c>
      <c r="F58" s="82" t="s">
        <v>870</v>
      </c>
    </row>
    <row r="59" spans="1:6" ht="27.95" customHeight="1">
      <c r="A59" s="82" t="s">
        <v>2125</v>
      </c>
      <c r="B59" s="84" t="s">
        <v>603</v>
      </c>
      <c r="C59" s="90" t="s">
        <v>2126</v>
      </c>
      <c r="D59" s="91" t="s">
        <v>605</v>
      </c>
      <c r="E59" s="82" t="s">
        <v>2127</v>
      </c>
      <c r="F59" s="82" t="s">
        <v>637</v>
      </c>
    </row>
    <row r="60" spans="1:6" ht="27.95" customHeight="1">
      <c r="A60" s="82" t="s">
        <v>2128</v>
      </c>
      <c r="B60" s="84" t="s">
        <v>603</v>
      </c>
      <c r="C60" s="90" t="s">
        <v>2129</v>
      </c>
      <c r="D60" s="91" t="s">
        <v>605</v>
      </c>
      <c r="E60" s="82" t="s">
        <v>1939</v>
      </c>
      <c r="F60" s="82" t="s">
        <v>2130</v>
      </c>
    </row>
    <row r="61" spans="1:6" ht="27.95" customHeight="1">
      <c r="A61" s="82" t="s">
        <v>2131</v>
      </c>
      <c r="B61" s="85" t="s">
        <v>619</v>
      </c>
      <c r="C61" s="90" t="s">
        <v>650</v>
      </c>
      <c r="D61" s="91" t="s">
        <v>605</v>
      </c>
      <c r="E61" s="82" t="s">
        <v>651</v>
      </c>
      <c r="F61" s="82" t="s">
        <v>607</v>
      </c>
    </row>
    <row r="62" spans="1:6" ht="27.95" customHeight="1">
      <c r="A62" s="82" t="s">
        <v>2132</v>
      </c>
      <c r="B62" s="84" t="s">
        <v>603</v>
      </c>
      <c r="C62" s="90" t="s">
        <v>2133</v>
      </c>
      <c r="D62" s="91" t="s">
        <v>605</v>
      </c>
      <c r="E62" s="82" t="s">
        <v>610</v>
      </c>
      <c r="F62" s="82" t="s">
        <v>1627</v>
      </c>
    </row>
    <row r="63" spans="1:6" ht="27.95" customHeight="1">
      <c r="A63" s="82" t="s">
        <v>2134</v>
      </c>
      <c r="B63" s="84" t="s">
        <v>603</v>
      </c>
      <c r="C63" s="90" t="s">
        <v>2135</v>
      </c>
      <c r="D63" s="91" t="s">
        <v>605</v>
      </c>
      <c r="E63" s="82" t="s">
        <v>2136</v>
      </c>
      <c r="F63" s="82" t="s">
        <v>2137</v>
      </c>
    </row>
    <row r="64" spans="1:6" ht="27.95" customHeight="1">
      <c r="A64" s="82" t="s">
        <v>2138</v>
      </c>
      <c r="B64" s="85" t="s">
        <v>619</v>
      </c>
      <c r="C64" s="90" t="s">
        <v>650</v>
      </c>
      <c r="D64" s="91" t="s">
        <v>605</v>
      </c>
      <c r="E64" s="82" t="s">
        <v>651</v>
      </c>
      <c r="F64" s="82" t="s">
        <v>607</v>
      </c>
    </row>
    <row r="65" spans="1:6" ht="27.95" customHeight="1">
      <c r="A65" s="82" t="s">
        <v>2139</v>
      </c>
      <c r="B65" s="84" t="s">
        <v>603</v>
      </c>
      <c r="C65" s="90" t="s">
        <v>650</v>
      </c>
      <c r="D65" s="91" t="s">
        <v>605</v>
      </c>
      <c r="E65" s="82" t="s">
        <v>688</v>
      </c>
      <c r="F65" s="82" t="s">
        <v>607</v>
      </c>
    </row>
    <row r="66" spans="1:6" ht="27.95" customHeight="1">
      <c r="A66" s="82" t="s">
        <v>2140</v>
      </c>
      <c r="B66" s="84" t="s">
        <v>603</v>
      </c>
      <c r="C66" s="90" t="s">
        <v>650</v>
      </c>
      <c r="D66" s="91" t="s">
        <v>605</v>
      </c>
      <c r="E66" s="82" t="s">
        <v>688</v>
      </c>
      <c r="F66" s="82" t="s">
        <v>607</v>
      </c>
    </row>
    <row r="67" spans="1:6" ht="27.95" customHeight="1">
      <c r="A67" s="82" t="s">
        <v>2141</v>
      </c>
      <c r="B67" s="84" t="s">
        <v>603</v>
      </c>
      <c r="C67" s="90" t="s">
        <v>2142</v>
      </c>
      <c r="D67" s="91" t="s">
        <v>605</v>
      </c>
      <c r="E67" s="82" t="s">
        <v>610</v>
      </c>
      <c r="F67" s="82" t="s">
        <v>1627</v>
      </c>
    </row>
    <row r="68" spans="1:6" ht="27.95" customHeight="1">
      <c r="A68" s="82" t="s">
        <v>2143</v>
      </c>
      <c r="B68" s="84" t="s">
        <v>603</v>
      </c>
      <c r="C68" s="82" t="s">
        <v>2144</v>
      </c>
      <c r="D68" s="83" t="s">
        <v>605</v>
      </c>
      <c r="E68" s="82" t="s">
        <v>606</v>
      </c>
      <c r="F68" s="82" t="s">
        <v>607</v>
      </c>
    </row>
    <row r="69" spans="1:6" ht="27.95" customHeight="1">
      <c r="A69" s="82" t="s">
        <v>2145</v>
      </c>
      <c r="B69" s="84" t="s">
        <v>603</v>
      </c>
      <c r="C69" s="82" t="s">
        <v>2146</v>
      </c>
      <c r="D69" s="83" t="s">
        <v>605</v>
      </c>
      <c r="E69" s="82" t="s">
        <v>610</v>
      </c>
      <c r="F69" s="82" t="s">
        <v>1627</v>
      </c>
    </row>
    <row r="70" spans="1:6" ht="27.95" customHeight="1">
      <c r="A70" s="82" t="s">
        <v>158</v>
      </c>
      <c r="B70" s="84" t="s">
        <v>603</v>
      </c>
      <c r="C70" s="82" t="s">
        <v>2147</v>
      </c>
      <c r="D70" s="83" t="s">
        <v>605</v>
      </c>
      <c r="E70" s="82" t="s">
        <v>610</v>
      </c>
      <c r="F70" s="82" t="s">
        <v>1627</v>
      </c>
    </row>
    <row r="71" spans="1:6" ht="27.95" customHeight="1">
      <c r="A71" s="82" t="s">
        <v>2148</v>
      </c>
      <c r="B71" s="85" t="s">
        <v>619</v>
      </c>
      <c r="C71" s="82" t="s">
        <v>650</v>
      </c>
      <c r="D71" s="83" t="s">
        <v>605</v>
      </c>
      <c r="E71" s="82" t="s">
        <v>651</v>
      </c>
      <c r="F71" s="82" t="s">
        <v>607</v>
      </c>
    </row>
    <row r="72" spans="1:6" ht="27.95" customHeight="1">
      <c r="A72" s="82" t="s">
        <v>2149</v>
      </c>
      <c r="B72" s="84" t="s">
        <v>603</v>
      </c>
      <c r="C72" s="93" t="s">
        <v>1666</v>
      </c>
      <c r="D72" s="83" t="s">
        <v>605</v>
      </c>
      <c r="E72" s="82" t="s">
        <v>610</v>
      </c>
      <c r="F72" s="82" t="s">
        <v>607</v>
      </c>
    </row>
    <row r="73" spans="1:6" ht="27.95" customHeight="1">
      <c r="A73" s="82" t="s">
        <v>2150</v>
      </c>
      <c r="B73" s="84" t="s">
        <v>603</v>
      </c>
      <c r="C73" s="93" t="s">
        <v>2151</v>
      </c>
      <c r="D73" s="83" t="s">
        <v>605</v>
      </c>
      <c r="E73" s="82" t="s">
        <v>2152</v>
      </c>
      <c r="F73" s="82" t="s">
        <v>2153</v>
      </c>
    </row>
    <row r="74" spans="1:6" ht="27.95" customHeight="1">
      <c r="A74" s="82" t="s">
        <v>2154</v>
      </c>
      <c r="B74" s="86" t="s">
        <v>615</v>
      </c>
      <c r="C74" s="82" t="s">
        <v>2155</v>
      </c>
      <c r="D74" s="83" t="s">
        <v>605</v>
      </c>
      <c r="E74" s="82" t="s">
        <v>630</v>
      </c>
      <c r="F74" s="82" t="s">
        <v>607</v>
      </c>
    </row>
    <row r="75" spans="1:6" ht="27.95" customHeight="1">
      <c r="A75" s="82" t="s">
        <v>344</v>
      </c>
      <c r="B75" s="84" t="s">
        <v>603</v>
      </c>
      <c r="C75" s="93" t="s">
        <v>2156</v>
      </c>
      <c r="D75" s="83" t="s">
        <v>605</v>
      </c>
      <c r="E75" s="82" t="s">
        <v>610</v>
      </c>
      <c r="F75" s="82" t="s">
        <v>2157</v>
      </c>
    </row>
    <row r="76" spans="1:6" ht="27.95" customHeight="1">
      <c r="A76" s="82" t="s">
        <v>2158</v>
      </c>
      <c r="B76" s="85" t="s">
        <v>619</v>
      </c>
      <c r="C76" s="82" t="s">
        <v>650</v>
      </c>
      <c r="D76" s="83" t="s">
        <v>605</v>
      </c>
      <c r="E76" s="82" t="s">
        <v>651</v>
      </c>
      <c r="F76" s="82" t="s">
        <v>607</v>
      </c>
    </row>
    <row r="77" spans="1:6" ht="27.95" customHeight="1">
      <c r="A77" s="82" t="s">
        <v>2159</v>
      </c>
      <c r="B77" s="85" t="s">
        <v>619</v>
      </c>
      <c r="C77" s="82" t="s">
        <v>650</v>
      </c>
      <c r="D77" s="83" t="s">
        <v>605</v>
      </c>
      <c r="E77" s="82" t="s">
        <v>651</v>
      </c>
      <c r="F77" s="82" t="s">
        <v>607</v>
      </c>
    </row>
    <row r="78" spans="1:6" ht="27.95" customHeight="1">
      <c r="A78" s="82" t="s">
        <v>278</v>
      </c>
      <c r="B78" s="86" t="s">
        <v>615</v>
      </c>
      <c r="C78" s="82" t="s">
        <v>2160</v>
      </c>
      <c r="D78" s="83" t="s">
        <v>605</v>
      </c>
      <c r="E78" s="82" t="s">
        <v>2161</v>
      </c>
      <c r="F78" s="82" t="s">
        <v>2162</v>
      </c>
    </row>
    <row r="79" spans="1:6" ht="27.95" customHeight="1">
      <c r="A79" s="82" t="s">
        <v>2163</v>
      </c>
      <c r="B79" s="84" t="s">
        <v>603</v>
      </c>
      <c r="C79" s="93" t="s">
        <v>2164</v>
      </c>
      <c r="D79" s="83" t="s">
        <v>605</v>
      </c>
      <c r="E79" s="82" t="s">
        <v>610</v>
      </c>
      <c r="F79" s="82" t="s">
        <v>1021</v>
      </c>
    </row>
    <row r="80" spans="1:6" ht="27.95" customHeight="1">
      <c r="A80" s="82" t="s">
        <v>2165</v>
      </c>
      <c r="B80" s="85" t="s">
        <v>619</v>
      </c>
      <c r="C80" s="93" t="s">
        <v>650</v>
      </c>
      <c r="D80" s="83" t="s">
        <v>605</v>
      </c>
      <c r="E80" s="82" t="s">
        <v>651</v>
      </c>
      <c r="F80" s="82" t="s">
        <v>607</v>
      </c>
    </row>
    <row r="81" spans="1:6" ht="27.95" customHeight="1">
      <c r="A81" s="82" t="s">
        <v>2166</v>
      </c>
      <c r="B81" s="84" t="s">
        <v>603</v>
      </c>
      <c r="C81" s="82" t="s">
        <v>1802</v>
      </c>
      <c r="D81" s="83" t="s">
        <v>605</v>
      </c>
      <c r="E81" s="82" t="s">
        <v>610</v>
      </c>
      <c r="F81" s="82" t="s">
        <v>607</v>
      </c>
    </row>
    <row r="82" spans="1:6" ht="27.95" customHeight="1">
      <c r="A82" s="82" t="s">
        <v>528</v>
      </c>
      <c r="B82" s="84" t="s">
        <v>603</v>
      </c>
      <c r="C82" s="93" t="s">
        <v>1898</v>
      </c>
      <c r="D82" s="83" t="s">
        <v>605</v>
      </c>
      <c r="E82" s="82" t="s">
        <v>1899</v>
      </c>
      <c r="F82" s="82" t="s">
        <v>637</v>
      </c>
    </row>
    <row r="83" spans="1:6" ht="27.95" customHeight="1">
      <c r="A83" s="82" t="s">
        <v>2167</v>
      </c>
      <c r="B83" s="85" t="s">
        <v>619</v>
      </c>
      <c r="C83" s="82" t="s">
        <v>650</v>
      </c>
      <c r="D83" s="83" t="s">
        <v>605</v>
      </c>
      <c r="E83" s="82" t="s">
        <v>651</v>
      </c>
      <c r="F83" s="82" t="s">
        <v>607</v>
      </c>
    </row>
    <row r="84" spans="1:6" ht="27.95" customHeight="1">
      <c r="A84" s="82" t="s">
        <v>2168</v>
      </c>
      <c r="B84" s="85" t="s">
        <v>619</v>
      </c>
      <c r="C84" s="82" t="s">
        <v>650</v>
      </c>
      <c r="D84" s="83" t="s">
        <v>605</v>
      </c>
      <c r="E84" s="82" t="s">
        <v>651</v>
      </c>
      <c r="F84" s="82" t="s">
        <v>607</v>
      </c>
    </row>
    <row r="85" spans="1:6" ht="27.95" customHeight="1">
      <c r="A85" s="82" t="s">
        <v>2169</v>
      </c>
      <c r="B85" s="85" t="s">
        <v>619</v>
      </c>
      <c r="C85" s="82" t="s">
        <v>888</v>
      </c>
      <c r="D85" s="83" t="s">
        <v>605</v>
      </c>
      <c r="E85" s="82" t="s">
        <v>620</v>
      </c>
      <c r="F85" s="82" t="s">
        <v>607</v>
      </c>
    </row>
    <row r="86" spans="1:6" ht="15">
      <c r="C86" s="63"/>
      <c r="D86" s="63"/>
    </row>
    <row r="87" spans="1:6" ht="15">
      <c r="C87" s="88" t="s">
        <v>633</v>
      </c>
      <c r="D87" s="89" t="str">
        <f>COUNTIF(D2:D85,"☑")&amp;" / "&amp;COUNTA(A2:A85)</f>
        <v>0 / 84</v>
      </c>
    </row>
  </sheetData>
  <conditionalFormatting sqref="B2:B57">
    <cfRule type="expression" dxfId="77" priority="1">
      <formula>B2="A"</formula>
    </cfRule>
    <cfRule type="expression" dxfId="76" priority="2">
      <formula>B2="B"</formula>
    </cfRule>
    <cfRule type="expression" dxfId="75" priority="3">
      <formula>B2="C"</formula>
    </cfRule>
  </conditionalFormatting>
  <conditionalFormatting sqref="D2:D84">
    <cfRule type="expression" dxfId="74" priority="4">
      <formula>D2="☑"</formula>
    </cfRule>
  </conditionalFormatting>
  <conditionalFormatting sqref="D2:D85">
    <cfRule type="expression" dxfId="73" priority="25">
      <formula>D2="☑"</formula>
    </cfRule>
  </conditionalFormatting>
  <dataValidations count="1">
    <dataValidation type="list" sqref="D2:D85" xr:uid="{00000000-0002-0000-1700-000000000000}">
      <formula1>"☐,☑"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77"/>
  <sheetViews>
    <sheetView workbookViewId="0"/>
  </sheetViews>
  <sheetFormatPr defaultRowHeight="14.25"/>
  <cols>
    <col min="1" max="1" width="34" customWidth="1"/>
    <col min="2" max="2" width="10" customWidth="1"/>
    <col min="3" max="3" width="44" customWidth="1"/>
    <col min="4" max="4" width="12" customWidth="1"/>
    <col min="5" max="5" width="42" customWidth="1"/>
    <col min="6" max="6" width="58" customWidth="1"/>
  </cols>
  <sheetData>
    <row r="1" spans="1:6" ht="21.95" customHeight="1">
      <c r="A1" s="57" t="s">
        <v>598</v>
      </c>
      <c r="B1" s="57" t="s">
        <v>599</v>
      </c>
      <c r="C1" s="57" t="s">
        <v>13</v>
      </c>
      <c r="D1" s="57" t="s">
        <v>3</v>
      </c>
      <c r="E1" s="57" t="s">
        <v>600</v>
      </c>
      <c r="F1" s="57" t="s">
        <v>601</v>
      </c>
    </row>
    <row r="2" spans="1:6" ht="26.1" customHeight="1">
      <c r="A2" s="58" t="s">
        <v>80</v>
      </c>
      <c r="B2" s="60" t="s">
        <v>603</v>
      </c>
      <c r="C2" s="58" t="s">
        <v>2170</v>
      </c>
      <c r="D2" s="59" t="s">
        <v>605</v>
      </c>
      <c r="E2" s="58" t="s">
        <v>610</v>
      </c>
      <c r="F2" s="58" t="s">
        <v>870</v>
      </c>
    </row>
    <row r="3" spans="1:6" ht="26.1" customHeight="1">
      <c r="A3" s="58" t="s">
        <v>2171</v>
      </c>
      <c r="B3" s="60" t="s">
        <v>603</v>
      </c>
      <c r="C3" s="58" t="s">
        <v>2172</v>
      </c>
      <c r="D3" s="59" t="s">
        <v>605</v>
      </c>
      <c r="E3" s="58" t="s">
        <v>606</v>
      </c>
      <c r="F3" s="58" t="s">
        <v>2173</v>
      </c>
    </row>
    <row r="4" spans="1:6" ht="26.1" customHeight="1">
      <c r="A4" s="58" t="s">
        <v>2174</v>
      </c>
      <c r="B4" s="61" t="s">
        <v>619</v>
      </c>
      <c r="C4" s="58" t="s">
        <v>650</v>
      </c>
      <c r="D4" s="59" t="s">
        <v>605</v>
      </c>
      <c r="E4" s="58" t="s">
        <v>651</v>
      </c>
      <c r="F4" s="58" t="s">
        <v>607</v>
      </c>
    </row>
    <row r="5" spans="1:6" ht="26.1" customHeight="1">
      <c r="A5" s="58" t="s">
        <v>2175</v>
      </c>
      <c r="B5" s="61" t="s">
        <v>619</v>
      </c>
      <c r="C5" s="58" t="s">
        <v>650</v>
      </c>
      <c r="D5" s="59" t="s">
        <v>605</v>
      </c>
      <c r="E5" s="58" t="s">
        <v>651</v>
      </c>
      <c r="F5" s="58" t="s">
        <v>607</v>
      </c>
    </row>
    <row r="6" spans="1:6" ht="26.1" customHeight="1">
      <c r="A6" s="58" t="s">
        <v>2176</v>
      </c>
      <c r="B6" s="61" t="s">
        <v>619</v>
      </c>
      <c r="C6" s="58" t="s">
        <v>2177</v>
      </c>
      <c r="D6" s="59" t="s">
        <v>605</v>
      </c>
      <c r="E6" s="58" t="s">
        <v>620</v>
      </c>
      <c r="F6" s="58" t="s">
        <v>1431</v>
      </c>
    </row>
    <row r="7" spans="1:6" ht="26.1" customHeight="1">
      <c r="A7" s="58" t="s">
        <v>2178</v>
      </c>
      <c r="B7" s="60" t="s">
        <v>603</v>
      </c>
      <c r="C7" s="58" t="s">
        <v>629</v>
      </c>
      <c r="D7" s="59" t="s">
        <v>605</v>
      </c>
      <c r="E7" s="58" t="s">
        <v>610</v>
      </c>
      <c r="F7" s="58" t="s">
        <v>607</v>
      </c>
    </row>
    <row r="8" spans="1:6" ht="26.1" customHeight="1">
      <c r="A8" s="58" t="s">
        <v>2179</v>
      </c>
      <c r="B8" s="61" t="s">
        <v>619</v>
      </c>
      <c r="C8" s="58" t="s">
        <v>650</v>
      </c>
      <c r="D8" s="59" t="s">
        <v>605</v>
      </c>
      <c r="E8" s="58" t="s">
        <v>651</v>
      </c>
      <c r="F8" s="58" t="s">
        <v>607</v>
      </c>
    </row>
    <row r="9" spans="1:6" ht="26.1" customHeight="1">
      <c r="A9" s="58" t="s">
        <v>2180</v>
      </c>
      <c r="B9" s="60" t="s">
        <v>603</v>
      </c>
      <c r="C9" s="58" t="s">
        <v>1666</v>
      </c>
      <c r="D9" s="59" t="s">
        <v>605</v>
      </c>
      <c r="E9" s="58" t="s">
        <v>610</v>
      </c>
      <c r="F9" s="58" t="s">
        <v>607</v>
      </c>
    </row>
    <row r="10" spans="1:6" ht="26.1" customHeight="1">
      <c r="A10" s="58" t="s">
        <v>2181</v>
      </c>
      <c r="B10" s="60" t="s">
        <v>603</v>
      </c>
      <c r="C10" s="58" t="s">
        <v>2182</v>
      </c>
      <c r="D10" s="59" t="s">
        <v>605</v>
      </c>
      <c r="E10" s="58" t="s">
        <v>610</v>
      </c>
      <c r="F10" s="58" t="s">
        <v>2183</v>
      </c>
    </row>
    <row r="11" spans="1:6" ht="26.1" customHeight="1">
      <c r="A11" s="58" t="s">
        <v>2184</v>
      </c>
      <c r="B11" s="61" t="s">
        <v>619</v>
      </c>
      <c r="C11" s="58" t="s">
        <v>650</v>
      </c>
      <c r="D11" s="59" t="s">
        <v>605</v>
      </c>
      <c r="E11" s="58" t="s">
        <v>651</v>
      </c>
      <c r="F11" s="58" t="s">
        <v>607</v>
      </c>
    </row>
    <row r="12" spans="1:6" ht="26.1" customHeight="1">
      <c r="A12" s="58" t="s">
        <v>2185</v>
      </c>
      <c r="B12" s="61" t="s">
        <v>619</v>
      </c>
      <c r="C12" s="58" t="s">
        <v>650</v>
      </c>
      <c r="D12" s="59" t="s">
        <v>605</v>
      </c>
      <c r="E12" s="58" t="s">
        <v>651</v>
      </c>
      <c r="F12" s="58" t="s">
        <v>607</v>
      </c>
    </row>
    <row r="13" spans="1:6" ht="26.1" customHeight="1">
      <c r="A13" s="58" t="s">
        <v>2186</v>
      </c>
      <c r="B13" s="60" t="s">
        <v>603</v>
      </c>
      <c r="C13" s="58" t="s">
        <v>2187</v>
      </c>
      <c r="D13" s="59" t="s">
        <v>605</v>
      </c>
      <c r="E13" s="58" t="s">
        <v>610</v>
      </c>
      <c r="F13" s="58" t="s">
        <v>870</v>
      </c>
    </row>
    <row r="14" spans="1:6" ht="26.1" customHeight="1">
      <c r="A14" s="58" t="s">
        <v>2188</v>
      </c>
      <c r="B14" s="60" t="s">
        <v>603</v>
      </c>
      <c r="C14" s="58" t="s">
        <v>2189</v>
      </c>
      <c r="D14" s="59" t="s">
        <v>605</v>
      </c>
      <c r="E14" s="58" t="s">
        <v>606</v>
      </c>
      <c r="F14" s="58" t="s">
        <v>870</v>
      </c>
    </row>
    <row r="15" spans="1:6" ht="26.1" customHeight="1">
      <c r="A15" s="58" t="s">
        <v>2190</v>
      </c>
      <c r="B15" s="61" t="s">
        <v>619</v>
      </c>
      <c r="C15" s="58" t="s">
        <v>650</v>
      </c>
      <c r="D15" s="59" t="s">
        <v>605</v>
      </c>
      <c r="E15" s="58" t="s">
        <v>651</v>
      </c>
      <c r="F15" s="58" t="s">
        <v>607</v>
      </c>
    </row>
    <row r="16" spans="1:6" ht="26.1" customHeight="1">
      <c r="A16" s="58" t="s">
        <v>2191</v>
      </c>
      <c r="B16" s="60" t="s">
        <v>603</v>
      </c>
      <c r="C16" s="58" t="s">
        <v>2192</v>
      </c>
      <c r="D16" s="59" t="s">
        <v>605</v>
      </c>
      <c r="E16" s="58" t="s">
        <v>1930</v>
      </c>
      <c r="F16" s="58" t="s">
        <v>2193</v>
      </c>
    </row>
    <row r="17" spans="1:6" ht="26.1" customHeight="1">
      <c r="A17" s="58" t="s">
        <v>335</v>
      </c>
      <c r="B17" s="60" t="s">
        <v>603</v>
      </c>
      <c r="C17" s="58" t="s">
        <v>2194</v>
      </c>
      <c r="D17" s="59" t="s">
        <v>605</v>
      </c>
      <c r="E17" s="58" t="s">
        <v>610</v>
      </c>
      <c r="F17" s="58" t="s">
        <v>2195</v>
      </c>
    </row>
    <row r="18" spans="1:6" ht="26.1" customHeight="1">
      <c r="A18" s="58" t="s">
        <v>2196</v>
      </c>
      <c r="B18" s="60" t="s">
        <v>603</v>
      </c>
      <c r="C18" s="58" t="s">
        <v>2197</v>
      </c>
      <c r="D18" s="59" t="s">
        <v>605</v>
      </c>
      <c r="E18" s="58" t="s">
        <v>606</v>
      </c>
      <c r="F18" s="58" t="s">
        <v>691</v>
      </c>
    </row>
    <row r="19" spans="1:6" ht="26.1" customHeight="1">
      <c r="A19" s="58" t="s">
        <v>2198</v>
      </c>
      <c r="B19" s="61" t="s">
        <v>619</v>
      </c>
      <c r="C19" s="58" t="s">
        <v>650</v>
      </c>
      <c r="D19" s="59" t="s">
        <v>605</v>
      </c>
      <c r="E19" s="58" t="s">
        <v>651</v>
      </c>
      <c r="F19" s="58" t="s">
        <v>607</v>
      </c>
    </row>
    <row r="20" spans="1:6" ht="26.1" customHeight="1">
      <c r="A20" s="58" t="s">
        <v>2199</v>
      </c>
      <c r="B20" s="61" t="s">
        <v>619</v>
      </c>
      <c r="C20" s="58" t="s">
        <v>650</v>
      </c>
      <c r="D20" s="59" t="s">
        <v>605</v>
      </c>
      <c r="E20" s="58" t="s">
        <v>651</v>
      </c>
      <c r="F20" s="58" t="s">
        <v>607</v>
      </c>
    </row>
    <row r="21" spans="1:6" ht="26.1" customHeight="1">
      <c r="A21" s="58" t="s">
        <v>2200</v>
      </c>
      <c r="B21" s="60" t="s">
        <v>603</v>
      </c>
      <c r="C21" s="58" t="s">
        <v>2201</v>
      </c>
      <c r="D21" s="59" t="s">
        <v>605</v>
      </c>
      <c r="E21" s="58" t="s">
        <v>610</v>
      </c>
      <c r="F21" s="58" t="s">
        <v>2048</v>
      </c>
    </row>
    <row r="22" spans="1:6" ht="26.1" customHeight="1">
      <c r="A22" s="58" t="s">
        <v>2202</v>
      </c>
      <c r="B22" s="60" t="s">
        <v>603</v>
      </c>
      <c r="C22" s="58" t="s">
        <v>2203</v>
      </c>
      <c r="D22" s="59" t="s">
        <v>605</v>
      </c>
      <c r="E22" s="58" t="s">
        <v>610</v>
      </c>
      <c r="F22" s="58" t="s">
        <v>2048</v>
      </c>
    </row>
    <row r="23" spans="1:6" ht="26.1" customHeight="1">
      <c r="A23" s="58" t="s">
        <v>2204</v>
      </c>
      <c r="B23" s="60" t="s">
        <v>603</v>
      </c>
      <c r="C23" s="58" t="s">
        <v>650</v>
      </c>
      <c r="D23" s="59" t="s">
        <v>605</v>
      </c>
      <c r="E23" s="58" t="s">
        <v>688</v>
      </c>
      <c r="F23" s="58" t="s">
        <v>607</v>
      </c>
    </row>
    <row r="24" spans="1:6" ht="26.1" customHeight="1">
      <c r="A24" s="58" t="s">
        <v>2205</v>
      </c>
      <c r="B24" s="61" t="s">
        <v>619</v>
      </c>
      <c r="C24" s="58" t="s">
        <v>2206</v>
      </c>
      <c r="D24" s="59" t="s">
        <v>605</v>
      </c>
      <c r="E24" s="58" t="s">
        <v>620</v>
      </c>
      <c r="F24" s="58" t="s">
        <v>2048</v>
      </c>
    </row>
    <row r="25" spans="1:6" ht="26.1" customHeight="1">
      <c r="A25" s="58" t="s">
        <v>2207</v>
      </c>
      <c r="B25" s="60" t="s">
        <v>603</v>
      </c>
      <c r="C25" s="58" t="s">
        <v>1978</v>
      </c>
      <c r="D25" s="59" t="s">
        <v>605</v>
      </c>
      <c r="E25" s="58" t="s">
        <v>606</v>
      </c>
      <c r="F25" s="58" t="s">
        <v>870</v>
      </c>
    </row>
    <row r="26" spans="1:6" ht="26.1" customHeight="1">
      <c r="A26" s="58" t="s">
        <v>2091</v>
      </c>
      <c r="B26" s="60" t="s">
        <v>603</v>
      </c>
      <c r="C26" s="58" t="s">
        <v>2092</v>
      </c>
      <c r="D26" s="59" t="s">
        <v>605</v>
      </c>
      <c r="E26" s="58" t="s">
        <v>610</v>
      </c>
      <c r="F26" s="58" t="s">
        <v>1434</v>
      </c>
    </row>
    <row r="27" spans="1:6" ht="26.1" customHeight="1">
      <c r="A27" s="58" t="s">
        <v>2208</v>
      </c>
      <c r="B27" s="60" t="s">
        <v>603</v>
      </c>
      <c r="C27" s="58" t="s">
        <v>2209</v>
      </c>
      <c r="D27" s="59" t="s">
        <v>605</v>
      </c>
      <c r="E27" s="58" t="s">
        <v>2047</v>
      </c>
      <c r="F27" s="58" t="s">
        <v>2210</v>
      </c>
    </row>
    <row r="28" spans="1:6" ht="26.1" customHeight="1">
      <c r="A28" s="58" t="s">
        <v>2211</v>
      </c>
      <c r="B28" s="61" t="s">
        <v>619</v>
      </c>
      <c r="C28" s="58" t="s">
        <v>650</v>
      </c>
      <c r="D28" s="59" t="s">
        <v>605</v>
      </c>
      <c r="E28" s="58" t="s">
        <v>651</v>
      </c>
      <c r="F28" s="58" t="s">
        <v>607</v>
      </c>
    </row>
    <row r="29" spans="1:6" ht="26.1" customHeight="1">
      <c r="A29" s="58" t="s">
        <v>2212</v>
      </c>
      <c r="B29" s="60" t="s">
        <v>603</v>
      </c>
      <c r="C29" s="58" t="s">
        <v>2213</v>
      </c>
      <c r="D29" s="59" t="s">
        <v>605</v>
      </c>
      <c r="E29" s="58" t="s">
        <v>610</v>
      </c>
      <c r="F29" s="58" t="s">
        <v>1431</v>
      </c>
    </row>
    <row r="30" spans="1:6" ht="26.1" customHeight="1">
      <c r="A30" s="58" t="s">
        <v>2214</v>
      </c>
      <c r="B30" s="60" t="s">
        <v>603</v>
      </c>
      <c r="C30" s="58" t="s">
        <v>2215</v>
      </c>
      <c r="D30" s="59" t="s">
        <v>605</v>
      </c>
      <c r="E30" s="58" t="s">
        <v>610</v>
      </c>
      <c r="F30" s="58" t="s">
        <v>691</v>
      </c>
    </row>
    <row r="31" spans="1:6" ht="26.1" customHeight="1">
      <c r="A31" s="58" t="s">
        <v>2216</v>
      </c>
      <c r="B31" s="60" t="s">
        <v>603</v>
      </c>
      <c r="C31" s="58" t="s">
        <v>2217</v>
      </c>
      <c r="D31" s="59" t="s">
        <v>605</v>
      </c>
      <c r="E31" s="58" t="s">
        <v>606</v>
      </c>
      <c r="F31" s="58" t="s">
        <v>691</v>
      </c>
    </row>
    <row r="32" spans="1:6" ht="26.1" customHeight="1">
      <c r="A32" s="58" t="s">
        <v>2218</v>
      </c>
      <c r="B32" s="60" t="s">
        <v>603</v>
      </c>
      <c r="C32" s="58" t="s">
        <v>2219</v>
      </c>
      <c r="D32" s="59" t="s">
        <v>605</v>
      </c>
      <c r="E32" s="58" t="s">
        <v>610</v>
      </c>
      <c r="F32" s="58" t="s">
        <v>2026</v>
      </c>
    </row>
    <row r="33" spans="1:6" ht="26.1" customHeight="1">
      <c r="A33" s="58" t="s">
        <v>2220</v>
      </c>
      <c r="B33" s="60" t="s">
        <v>603</v>
      </c>
      <c r="C33" s="58" t="s">
        <v>1938</v>
      </c>
      <c r="D33" s="59" t="s">
        <v>605</v>
      </c>
      <c r="E33" s="58" t="s">
        <v>1939</v>
      </c>
      <c r="F33" s="58" t="s">
        <v>1940</v>
      </c>
    </row>
    <row r="34" spans="1:6" ht="26.1" customHeight="1">
      <c r="A34" s="58" t="s">
        <v>333</v>
      </c>
      <c r="B34" s="60" t="s">
        <v>603</v>
      </c>
      <c r="C34" s="58" t="s">
        <v>2221</v>
      </c>
      <c r="D34" s="59" t="s">
        <v>605</v>
      </c>
      <c r="E34" s="58" t="s">
        <v>1230</v>
      </c>
      <c r="F34" s="58" t="s">
        <v>2222</v>
      </c>
    </row>
    <row r="35" spans="1:6" ht="26.1" customHeight="1">
      <c r="A35" s="58" t="s">
        <v>2223</v>
      </c>
      <c r="B35" s="61" t="s">
        <v>619</v>
      </c>
      <c r="C35" s="58" t="s">
        <v>650</v>
      </c>
      <c r="D35" s="59" t="s">
        <v>605</v>
      </c>
      <c r="E35" s="58" t="s">
        <v>651</v>
      </c>
      <c r="F35" s="58" t="s">
        <v>607</v>
      </c>
    </row>
    <row r="36" spans="1:6" ht="26.1" customHeight="1">
      <c r="A36" s="58" t="s">
        <v>2224</v>
      </c>
      <c r="B36" s="60" t="s">
        <v>603</v>
      </c>
      <c r="C36" s="58" t="s">
        <v>2225</v>
      </c>
      <c r="D36" s="59" t="s">
        <v>605</v>
      </c>
      <c r="E36" s="58" t="s">
        <v>2226</v>
      </c>
      <c r="F36" s="58" t="s">
        <v>2227</v>
      </c>
    </row>
    <row r="37" spans="1:6" ht="26.1" customHeight="1">
      <c r="A37" s="58" t="s">
        <v>2228</v>
      </c>
      <c r="B37" s="60" t="s">
        <v>603</v>
      </c>
      <c r="C37" s="58" t="s">
        <v>650</v>
      </c>
      <c r="D37" s="59" t="s">
        <v>605</v>
      </c>
      <c r="E37" s="58" t="s">
        <v>688</v>
      </c>
      <c r="F37" s="58" t="s">
        <v>607</v>
      </c>
    </row>
    <row r="38" spans="1:6" ht="26.1" customHeight="1">
      <c r="A38" s="58" t="s">
        <v>2229</v>
      </c>
      <c r="B38" s="60" t="s">
        <v>603</v>
      </c>
      <c r="C38" s="58" t="s">
        <v>2230</v>
      </c>
      <c r="D38" s="59" t="s">
        <v>605</v>
      </c>
      <c r="E38" s="58" t="s">
        <v>610</v>
      </c>
      <c r="F38" s="58" t="s">
        <v>1627</v>
      </c>
    </row>
    <row r="39" spans="1:6" ht="26.1" customHeight="1">
      <c r="A39" s="58" t="s">
        <v>2231</v>
      </c>
      <c r="B39" s="61" t="s">
        <v>619</v>
      </c>
      <c r="C39" s="58" t="s">
        <v>650</v>
      </c>
      <c r="D39" s="59" t="s">
        <v>605</v>
      </c>
      <c r="E39" s="58" t="s">
        <v>651</v>
      </c>
      <c r="F39" s="58" t="s">
        <v>607</v>
      </c>
    </row>
    <row r="40" spans="1:6" ht="26.1" customHeight="1">
      <c r="A40" s="58" t="s">
        <v>2232</v>
      </c>
      <c r="B40" s="61" t="s">
        <v>619</v>
      </c>
      <c r="C40" s="58" t="s">
        <v>330</v>
      </c>
      <c r="D40" s="59" t="s">
        <v>605</v>
      </c>
      <c r="E40" s="58" t="s">
        <v>620</v>
      </c>
      <c r="F40" s="58" t="s">
        <v>607</v>
      </c>
    </row>
    <row r="41" spans="1:6" ht="26.1" customHeight="1">
      <c r="A41" s="58" t="s">
        <v>2233</v>
      </c>
      <c r="B41" s="60" t="s">
        <v>603</v>
      </c>
      <c r="C41" s="58" t="s">
        <v>2234</v>
      </c>
      <c r="D41" s="59" t="s">
        <v>605</v>
      </c>
      <c r="E41" s="58" t="s">
        <v>2235</v>
      </c>
      <c r="F41" s="58" t="s">
        <v>637</v>
      </c>
    </row>
    <row r="42" spans="1:6" ht="26.1" customHeight="1">
      <c r="A42" s="58" t="s">
        <v>2236</v>
      </c>
      <c r="B42" s="60" t="s">
        <v>603</v>
      </c>
      <c r="C42" s="58" t="s">
        <v>2237</v>
      </c>
      <c r="D42" s="59" t="s">
        <v>605</v>
      </c>
      <c r="E42" s="58" t="s">
        <v>606</v>
      </c>
      <c r="F42" s="58" t="s">
        <v>691</v>
      </c>
    </row>
    <row r="43" spans="1:6" ht="26.1" customHeight="1">
      <c r="A43" s="58" t="s">
        <v>2238</v>
      </c>
      <c r="B43" s="60" t="s">
        <v>603</v>
      </c>
      <c r="C43" s="58" t="s">
        <v>2239</v>
      </c>
      <c r="D43" s="59" t="s">
        <v>605</v>
      </c>
      <c r="E43" s="58" t="s">
        <v>610</v>
      </c>
      <c r="F43" s="58" t="s">
        <v>607</v>
      </c>
    </row>
    <row r="44" spans="1:6" ht="26.1" customHeight="1">
      <c r="A44" s="58" t="s">
        <v>2240</v>
      </c>
      <c r="B44" s="61" t="s">
        <v>619</v>
      </c>
      <c r="C44" s="58" t="s">
        <v>650</v>
      </c>
      <c r="D44" s="59" t="s">
        <v>605</v>
      </c>
      <c r="E44" s="58" t="s">
        <v>651</v>
      </c>
      <c r="F44" s="58" t="s">
        <v>607</v>
      </c>
    </row>
    <row r="45" spans="1:6" ht="26.1" customHeight="1">
      <c r="A45" s="58" t="s">
        <v>2241</v>
      </c>
      <c r="B45" s="61" t="s">
        <v>619</v>
      </c>
      <c r="C45" s="58" t="s">
        <v>650</v>
      </c>
      <c r="D45" s="59" t="s">
        <v>605</v>
      </c>
      <c r="E45" s="58" t="s">
        <v>651</v>
      </c>
      <c r="F45" s="58" t="s">
        <v>607</v>
      </c>
    </row>
    <row r="46" spans="1:6" ht="26.1" customHeight="1">
      <c r="A46" s="58" t="s">
        <v>2242</v>
      </c>
      <c r="B46" s="60" t="s">
        <v>603</v>
      </c>
      <c r="C46" s="64" t="s">
        <v>2243</v>
      </c>
      <c r="D46" s="65" t="s">
        <v>605</v>
      </c>
      <c r="E46" s="58" t="s">
        <v>610</v>
      </c>
      <c r="F46" s="58" t="s">
        <v>870</v>
      </c>
    </row>
    <row r="47" spans="1:6" ht="26.1" customHeight="1">
      <c r="A47" s="58" t="s">
        <v>2244</v>
      </c>
      <c r="B47" s="60" t="s">
        <v>603</v>
      </c>
      <c r="C47" s="64" t="s">
        <v>2245</v>
      </c>
      <c r="D47" s="65" t="s">
        <v>605</v>
      </c>
      <c r="E47" s="58" t="s">
        <v>610</v>
      </c>
      <c r="F47" s="58" t="s">
        <v>607</v>
      </c>
    </row>
    <row r="48" spans="1:6" ht="26.1" customHeight="1">
      <c r="A48" s="58" t="s">
        <v>2246</v>
      </c>
      <c r="B48" s="60" t="s">
        <v>603</v>
      </c>
      <c r="C48" s="64" t="s">
        <v>2247</v>
      </c>
      <c r="D48" s="65" t="s">
        <v>605</v>
      </c>
      <c r="E48" s="58" t="s">
        <v>606</v>
      </c>
      <c r="F48" s="58" t="s">
        <v>2248</v>
      </c>
    </row>
    <row r="49" spans="1:6" ht="26.1" customHeight="1">
      <c r="A49" s="58" t="s">
        <v>2249</v>
      </c>
      <c r="B49" s="61" t="s">
        <v>619</v>
      </c>
      <c r="C49" s="64" t="s">
        <v>2250</v>
      </c>
      <c r="D49" s="65" t="s">
        <v>605</v>
      </c>
      <c r="E49" s="58" t="s">
        <v>620</v>
      </c>
      <c r="F49" s="58" t="s">
        <v>870</v>
      </c>
    </row>
    <row r="50" spans="1:6" ht="26.1" customHeight="1">
      <c r="A50" s="58" t="s">
        <v>2251</v>
      </c>
      <c r="B50" s="61" t="s">
        <v>619</v>
      </c>
      <c r="C50" s="64" t="s">
        <v>650</v>
      </c>
      <c r="D50" s="65" t="s">
        <v>605</v>
      </c>
      <c r="E50" s="58" t="s">
        <v>651</v>
      </c>
      <c r="F50" s="58" t="s">
        <v>607</v>
      </c>
    </row>
    <row r="51" spans="1:6" ht="26.1" customHeight="1">
      <c r="A51" s="58" t="s">
        <v>2252</v>
      </c>
      <c r="B51" s="60" t="s">
        <v>603</v>
      </c>
      <c r="C51" s="64" t="s">
        <v>622</v>
      </c>
      <c r="D51" s="65" t="s">
        <v>605</v>
      </c>
      <c r="E51" s="58" t="s">
        <v>610</v>
      </c>
      <c r="F51" s="58" t="s">
        <v>607</v>
      </c>
    </row>
    <row r="52" spans="1:6" ht="26.1" customHeight="1">
      <c r="A52" s="58" t="s">
        <v>2253</v>
      </c>
      <c r="B52" s="62" t="s">
        <v>615</v>
      </c>
      <c r="C52" s="64" t="s">
        <v>2254</v>
      </c>
      <c r="D52" s="65" t="s">
        <v>605</v>
      </c>
      <c r="E52" s="58" t="s">
        <v>915</v>
      </c>
      <c r="F52" s="58" t="s">
        <v>637</v>
      </c>
    </row>
    <row r="53" spans="1:6" ht="26.1" customHeight="1">
      <c r="A53" s="58" t="s">
        <v>2255</v>
      </c>
      <c r="B53" s="61" t="s">
        <v>619</v>
      </c>
      <c r="C53" s="64" t="s">
        <v>650</v>
      </c>
      <c r="D53" s="65" t="s">
        <v>605</v>
      </c>
      <c r="E53" s="58" t="s">
        <v>651</v>
      </c>
      <c r="F53" s="58" t="s">
        <v>607</v>
      </c>
    </row>
    <row r="54" spans="1:6" ht="26.1" customHeight="1">
      <c r="A54" s="58" t="s">
        <v>2256</v>
      </c>
      <c r="B54" s="60" t="s">
        <v>603</v>
      </c>
      <c r="C54" s="64" t="s">
        <v>609</v>
      </c>
      <c r="D54" s="65" t="s">
        <v>605</v>
      </c>
      <c r="E54" s="58" t="s">
        <v>1602</v>
      </c>
      <c r="F54" s="58" t="s">
        <v>607</v>
      </c>
    </row>
    <row r="55" spans="1:6" ht="26.1" customHeight="1">
      <c r="A55" s="58" t="s">
        <v>2257</v>
      </c>
      <c r="B55" s="61" t="s">
        <v>619</v>
      </c>
      <c r="C55" s="64" t="s">
        <v>650</v>
      </c>
      <c r="D55" s="65" t="s">
        <v>605</v>
      </c>
      <c r="E55" s="58" t="s">
        <v>651</v>
      </c>
      <c r="F55" s="58" t="s">
        <v>607</v>
      </c>
    </row>
    <row r="56" spans="1:6" ht="26.1" customHeight="1">
      <c r="A56" s="58" t="s">
        <v>2258</v>
      </c>
      <c r="B56" s="60" t="s">
        <v>603</v>
      </c>
      <c r="C56" s="64" t="s">
        <v>2259</v>
      </c>
      <c r="D56" s="65" t="s">
        <v>605</v>
      </c>
      <c r="E56" s="58" t="s">
        <v>606</v>
      </c>
      <c r="F56" s="58" t="s">
        <v>870</v>
      </c>
    </row>
    <row r="57" spans="1:6" ht="26.1" customHeight="1">
      <c r="A57" s="58" t="s">
        <v>2139</v>
      </c>
      <c r="B57" s="60" t="s">
        <v>603</v>
      </c>
      <c r="C57" s="64" t="s">
        <v>1666</v>
      </c>
      <c r="D57" s="65" t="s">
        <v>605</v>
      </c>
      <c r="E57" s="58" t="s">
        <v>610</v>
      </c>
      <c r="F57" s="58" t="s">
        <v>607</v>
      </c>
    </row>
    <row r="58" spans="1:6" ht="26.1" customHeight="1">
      <c r="A58" s="58" t="s">
        <v>2260</v>
      </c>
      <c r="B58" s="60" t="s">
        <v>603</v>
      </c>
      <c r="C58" s="64" t="s">
        <v>2261</v>
      </c>
      <c r="D58" s="65" t="s">
        <v>605</v>
      </c>
      <c r="E58" s="58" t="s">
        <v>610</v>
      </c>
      <c r="F58" s="58" t="s">
        <v>607</v>
      </c>
    </row>
    <row r="59" spans="1:6" ht="26.1" customHeight="1">
      <c r="A59" s="58" t="s">
        <v>2262</v>
      </c>
      <c r="B59" s="60" t="s">
        <v>603</v>
      </c>
      <c r="C59" s="64" t="s">
        <v>650</v>
      </c>
      <c r="D59" s="65" t="s">
        <v>605</v>
      </c>
      <c r="E59" s="58" t="s">
        <v>688</v>
      </c>
      <c r="F59" s="58" t="s">
        <v>607</v>
      </c>
    </row>
    <row r="60" spans="1:6" ht="26.1" customHeight="1">
      <c r="A60" s="58" t="s">
        <v>2263</v>
      </c>
      <c r="B60" s="61" t="s">
        <v>619</v>
      </c>
      <c r="C60" s="64" t="s">
        <v>650</v>
      </c>
      <c r="D60" s="65" t="s">
        <v>605</v>
      </c>
      <c r="E60" s="58" t="s">
        <v>651</v>
      </c>
      <c r="F60" s="58" t="s">
        <v>607</v>
      </c>
    </row>
    <row r="61" spans="1:6" ht="26.1" customHeight="1">
      <c r="A61" s="58" t="s">
        <v>2264</v>
      </c>
      <c r="B61" s="60" t="s">
        <v>603</v>
      </c>
      <c r="C61" s="64" t="s">
        <v>2265</v>
      </c>
      <c r="D61" s="65" t="s">
        <v>605</v>
      </c>
      <c r="E61" s="58" t="s">
        <v>610</v>
      </c>
      <c r="F61" s="58" t="s">
        <v>691</v>
      </c>
    </row>
    <row r="62" spans="1:6" ht="26.1" customHeight="1">
      <c r="A62" s="58" t="s">
        <v>2266</v>
      </c>
      <c r="B62" s="60" t="s">
        <v>603</v>
      </c>
      <c r="C62" s="64" t="s">
        <v>2267</v>
      </c>
      <c r="D62" s="65" t="s">
        <v>605</v>
      </c>
      <c r="E62" s="58" t="s">
        <v>610</v>
      </c>
      <c r="F62" s="58" t="s">
        <v>870</v>
      </c>
    </row>
    <row r="63" spans="1:6" ht="26.1" customHeight="1">
      <c r="A63" s="58" t="s">
        <v>2268</v>
      </c>
      <c r="B63" s="61" t="s">
        <v>619</v>
      </c>
      <c r="C63" s="64" t="s">
        <v>650</v>
      </c>
      <c r="D63" s="65" t="s">
        <v>605</v>
      </c>
      <c r="E63" s="58" t="s">
        <v>651</v>
      </c>
      <c r="F63" s="58" t="s">
        <v>607</v>
      </c>
    </row>
    <row r="64" spans="1:6" ht="26.1" customHeight="1">
      <c r="A64" s="58" t="s">
        <v>2269</v>
      </c>
      <c r="B64" s="60" t="s">
        <v>603</v>
      </c>
      <c r="C64" s="58" t="s">
        <v>2270</v>
      </c>
      <c r="D64" s="59" t="s">
        <v>605</v>
      </c>
      <c r="E64" s="58" t="s">
        <v>610</v>
      </c>
      <c r="F64" s="58" t="s">
        <v>1021</v>
      </c>
    </row>
    <row r="65" spans="1:6" ht="26.1" customHeight="1">
      <c r="A65" s="58" t="s">
        <v>2271</v>
      </c>
      <c r="B65" s="61" t="s">
        <v>619</v>
      </c>
      <c r="C65" s="58" t="s">
        <v>650</v>
      </c>
      <c r="D65" s="59" t="s">
        <v>605</v>
      </c>
      <c r="E65" s="58" t="s">
        <v>651</v>
      </c>
      <c r="F65" s="58" t="s">
        <v>607</v>
      </c>
    </row>
    <row r="66" spans="1:6" ht="26.1" customHeight="1">
      <c r="A66" s="58" t="s">
        <v>2272</v>
      </c>
      <c r="B66" s="60" t="s">
        <v>603</v>
      </c>
      <c r="C66" s="67" t="s">
        <v>2273</v>
      </c>
      <c r="D66" s="59" t="s">
        <v>605</v>
      </c>
      <c r="E66" s="58" t="s">
        <v>606</v>
      </c>
      <c r="F66" s="58" t="s">
        <v>691</v>
      </c>
    </row>
    <row r="67" spans="1:6" ht="26.1" customHeight="1">
      <c r="A67" s="58" t="s">
        <v>2274</v>
      </c>
      <c r="B67" s="61" t="s">
        <v>619</v>
      </c>
      <c r="C67" s="58" t="s">
        <v>650</v>
      </c>
      <c r="D67" s="59" t="s">
        <v>605</v>
      </c>
      <c r="E67" s="58" t="s">
        <v>651</v>
      </c>
      <c r="F67" s="58" t="s">
        <v>607</v>
      </c>
    </row>
    <row r="68" spans="1:6" ht="26.1" customHeight="1">
      <c r="A68" s="58" t="s">
        <v>2275</v>
      </c>
      <c r="B68" s="60" t="s">
        <v>603</v>
      </c>
      <c r="C68" s="58" t="s">
        <v>2276</v>
      </c>
      <c r="D68" s="59" t="s">
        <v>605</v>
      </c>
      <c r="E68" s="58" t="s">
        <v>610</v>
      </c>
      <c r="F68" s="58" t="s">
        <v>1627</v>
      </c>
    </row>
    <row r="69" spans="1:6" ht="26.1" customHeight="1">
      <c r="A69" s="58" t="s">
        <v>2277</v>
      </c>
      <c r="B69" s="60" t="s">
        <v>603</v>
      </c>
      <c r="C69" s="58" t="s">
        <v>650</v>
      </c>
      <c r="D69" s="59" t="s">
        <v>605</v>
      </c>
      <c r="E69" s="58" t="s">
        <v>688</v>
      </c>
      <c r="F69" s="58" t="s">
        <v>607</v>
      </c>
    </row>
    <row r="70" spans="1:6" ht="26.1" customHeight="1">
      <c r="A70" s="58" t="s">
        <v>2166</v>
      </c>
      <c r="B70" s="60" t="s">
        <v>603</v>
      </c>
      <c r="C70" s="58" t="s">
        <v>1802</v>
      </c>
      <c r="D70" s="59" t="s">
        <v>605</v>
      </c>
      <c r="E70" s="58" t="s">
        <v>610</v>
      </c>
      <c r="F70" s="58" t="s">
        <v>1434</v>
      </c>
    </row>
    <row r="71" spans="1:6" ht="26.1" customHeight="1">
      <c r="A71" s="58" t="s">
        <v>2278</v>
      </c>
      <c r="B71" s="61" t="s">
        <v>619</v>
      </c>
      <c r="C71" s="58" t="s">
        <v>650</v>
      </c>
      <c r="D71" s="59" t="s">
        <v>605</v>
      </c>
      <c r="E71" s="58" t="s">
        <v>651</v>
      </c>
      <c r="F71" s="58" t="s">
        <v>607</v>
      </c>
    </row>
    <row r="72" spans="1:6" ht="26.1" customHeight="1">
      <c r="A72" s="58" t="s">
        <v>2279</v>
      </c>
      <c r="B72" s="60" t="s">
        <v>603</v>
      </c>
      <c r="C72" s="58" t="s">
        <v>2280</v>
      </c>
      <c r="D72" s="59" t="s">
        <v>605</v>
      </c>
      <c r="E72" s="58" t="s">
        <v>683</v>
      </c>
      <c r="F72" s="58" t="s">
        <v>870</v>
      </c>
    </row>
    <row r="73" spans="1:6" ht="26.1" customHeight="1">
      <c r="A73" s="58" t="s">
        <v>2281</v>
      </c>
      <c r="B73" s="61" t="s">
        <v>619</v>
      </c>
      <c r="C73" s="67" t="s">
        <v>650</v>
      </c>
      <c r="D73" s="59" t="s">
        <v>605</v>
      </c>
      <c r="E73" s="58" t="s">
        <v>651</v>
      </c>
      <c r="F73" s="58" t="s">
        <v>607</v>
      </c>
    </row>
    <row r="74" spans="1:6" ht="26.1" customHeight="1">
      <c r="A74" s="58" t="s">
        <v>2282</v>
      </c>
      <c r="B74" s="60" t="s">
        <v>603</v>
      </c>
      <c r="C74" s="67" t="s">
        <v>2283</v>
      </c>
      <c r="D74" s="59" t="s">
        <v>605</v>
      </c>
      <c r="E74" s="58" t="s">
        <v>610</v>
      </c>
      <c r="F74" s="58" t="s">
        <v>2284</v>
      </c>
    </row>
    <row r="75" spans="1:6" ht="26.1" customHeight="1">
      <c r="A75" s="58" t="s">
        <v>2285</v>
      </c>
      <c r="B75" s="60" t="s">
        <v>603</v>
      </c>
      <c r="C75" s="67" t="s">
        <v>400</v>
      </c>
      <c r="D75" s="59" t="s">
        <v>605</v>
      </c>
      <c r="E75" s="58" t="s">
        <v>610</v>
      </c>
      <c r="F75" s="58" t="s">
        <v>607</v>
      </c>
    </row>
    <row r="77" spans="1:6" ht="15">
      <c r="C77" s="63" t="s">
        <v>633</v>
      </c>
      <c r="D77" s="63" t="str">
        <f>COUNTIF(D2:D75,"☑")&amp;" / "&amp;COUNTA(A2:A75)</f>
        <v>0 / 74</v>
      </c>
    </row>
  </sheetData>
  <conditionalFormatting sqref="B2:B44">
    <cfRule type="expression" dxfId="72" priority="1">
      <formula>B2="A"</formula>
    </cfRule>
    <cfRule type="expression" dxfId="71" priority="2">
      <formula>B2="B"</formula>
    </cfRule>
    <cfRule type="expression" dxfId="70" priority="3">
      <formula>B2="C"</formula>
    </cfRule>
  </conditionalFormatting>
  <conditionalFormatting sqref="D2:D75">
    <cfRule type="expression" dxfId="69" priority="4">
      <formula>D2="☑"</formula>
    </cfRule>
  </conditionalFormatting>
  <dataValidations count="1">
    <dataValidation type="list" sqref="D2:D75" xr:uid="{00000000-0002-0000-1800-000000000000}">
      <formula1>"☐,☑"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72"/>
  <sheetViews>
    <sheetView workbookViewId="0"/>
  </sheetViews>
  <sheetFormatPr defaultRowHeight="14.25"/>
  <cols>
    <col min="1" max="1" width="34" customWidth="1"/>
    <col min="2" max="2" width="10" customWidth="1"/>
    <col min="3" max="3" width="48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69" t="s">
        <v>598</v>
      </c>
      <c r="B1" s="69" t="s">
        <v>599</v>
      </c>
      <c r="C1" s="69" t="s">
        <v>13</v>
      </c>
      <c r="D1" s="69" t="s">
        <v>3</v>
      </c>
      <c r="E1" s="69" t="s">
        <v>600</v>
      </c>
      <c r="F1" s="69" t="s">
        <v>601</v>
      </c>
    </row>
    <row r="2" spans="1:6" ht="26.1" customHeight="1">
      <c r="A2" s="70" t="s">
        <v>2286</v>
      </c>
      <c r="B2" s="75" t="s">
        <v>619</v>
      </c>
      <c r="C2" s="70" t="s">
        <v>650</v>
      </c>
      <c r="D2" s="71" t="s">
        <v>605</v>
      </c>
      <c r="E2" s="70" t="s">
        <v>651</v>
      </c>
      <c r="F2" s="70" t="s">
        <v>607</v>
      </c>
    </row>
    <row r="3" spans="1:6" ht="26.1" customHeight="1">
      <c r="A3" s="70" t="s">
        <v>2287</v>
      </c>
      <c r="B3" s="75" t="s">
        <v>619</v>
      </c>
      <c r="C3" s="70" t="s">
        <v>2288</v>
      </c>
      <c r="D3" s="71" t="s">
        <v>605</v>
      </c>
      <c r="E3" s="70" t="s">
        <v>620</v>
      </c>
      <c r="F3" s="70" t="s">
        <v>607</v>
      </c>
    </row>
    <row r="4" spans="1:6" ht="26.1" customHeight="1">
      <c r="A4" s="70" t="s">
        <v>2289</v>
      </c>
      <c r="B4" s="76" t="s">
        <v>603</v>
      </c>
      <c r="C4" s="70" t="s">
        <v>2290</v>
      </c>
      <c r="D4" s="71" t="s">
        <v>605</v>
      </c>
      <c r="E4" s="70" t="s">
        <v>606</v>
      </c>
      <c r="F4" s="70" t="s">
        <v>691</v>
      </c>
    </row>
    <row r="5" spans="1:6" ht="26.1" customHeight="1">
      <c r="A5" s="70" t="s">
        <v>2291</v>
      </c>
      <c r="B5" s="76" t="s">
        <v>603</v>
      </c>
      <c r="C5" s="70" t="s">
        <v>2292</v>
      </c>
      <c r="D5" s="71" t="s">
        <v>605</v>
      </c>
      <c r="E5" s="70" t="s">
        <v>610</v>
      </c>
      <c r="F5" s="70" t="s">
        <v>691</v>
      </c>
    </row>
    <row r="6" spans="1:6" ht="26.1" customHeight="1">
      <c r="A6" s="70" t="s">
        <v>2293</v>
      </c>
      <c r="B6" s="76" t="s">
        <v>603</v>
      </c>
      <c r="C6" s="70" t="s">
        <v>2294</v>
      </c>
      <c r="D6" s="71" t="s">
        <v>605</v>
      </c>
      <c r="E6" s="70" t="s">
        <v>606</v>
      </c>
      <c r="F6" s="70" t="s">
        <v>691</v>
      </c>
    </row>
    <row r="7" spans="1:6" ht="26.1" customHeight="1">
      <c r="A7" s="70" t="s">
        <v>2295</v>
      </c>
      <c r="B7" s="76" t="s">
        <v>603</v>
      </c>
      <c r="C7" s="70" t="s">
        <v>2296</v>
      </c>
      <c r="D7" s="71" t="s">
        <v>605</v>
      </c>
      <c r="E7" s="70" t="s">
        <v>2297</v>
      </c>
      <c r="F7" s="70" t="s">
        <v>2298</v>
      </c>
    </row>
    <row r="8" spans="1:6" ht="26.1" customHeight="1">
      <c r="A8" s="70" t="s">
        <v>2299</v>
      </c>
      <c r="B8" s="76" t="s">
        <v>603</v>
      </c>
      <c r="C8" s="70" t="s">
        <v>2300</v>
      </c>
      <c r="D8" s="71" t="s">
        <v>605</v>
      </c>
      <c r="E8" s="70" t="s">
        <v>2301</v>
      </c>
      <c r="F8" s="70" t="s">
        <v>2302</v>
      </c>
    </row>
    <row r="9" spans="1:6" ht="26.1" customHeight="1">
      <c r="A9" s="70" t="s">
        <v>2303</v>
      </c>
      <c r="B9" s="76" t="s">
        <v>603</v>
      </c>
      <c r="C9" s="70" t="s">
        <v>2304</v>
      </c>
      <c r="D9" s="71" t="s">
        <v>605</v>
      </c>
      <c r="E9" s="70" t="s">
        <v>610</v>
      </c>
      <c r="F9" s="70" t="s">
        <v>607</v>
      </c>
    </row>
    <row r="10" spans="1:6" ht="26.1" customHeight="1">
      <c r="A10" s="70" t="s">
        <v>2305</v>
      </c>
      <c r="B10" s="75" t="s">
        <v>619</v>
      </c>
      <c r="C10" s="70" t="s">
        <v>2306</v>
      </c>
      <c r="D10" s="71" t="s">
        <v>605</v>
      </c>
      <c r="E10" s="70" t="s">
        <v>620</v>
      </c>
      <c r="F10" s="70" t="s">
        <v>691</v>
      </c>
    </row>
    <row r="11" spans="1:6" ht="26.1" customHeight="1">
      <c r="A11" s="70" t="s">
        <v>2307</v>
      </c>
      <c r="B11" s="75" t="s">
        <v>619</v>
      </c>
      <c r="C11" s="70" t="s">
        <v>2308</v>
      </c>
      <c r="D11" s="71" t="s">
        <v>605</v>
      </c>
      <c r="E11" s="70" t="s">
        <v>620</v>
      </c>
      <c r="F11" s="70" t="s">
        <v>607</v>
      </c>
    </row>
    <row r="12" spans="1:6" ht="26.1" customHeight="1">
      <c r="A12" s="70" t="s">
        <v>2309</v>
      </c>
      <c r="B12" s="76" t="s">
        <v>603</v>
      </c>
      <c r="C12" s="70" t="s">
        <v>2310</v>
      </c>
      <c r="D12" s="71" t="s">
        <v>605</v>
      </c>
      <c r="E12" s="70" t="s">
        <v>683</v>
      </c>
      <c r="F12" s="70" t="s">
        <v>691</v>
      </c>
    </row>
    <row r="13" spans="1:6" ht="26.1" customHeight="1">
      <c r="A13" s="70" t="s">
        <v>2311</v>
      </c>
      <c r="B13" s="76" t="s">
        <v>603</v>
      </c>
      <c r="C13" s="70" t="s">
        <v>650</v>
      </c>
      <c r="D13" s="71" t="s">
        <v>605</v>
      </c>
      <c r="E13" s="70" t="s">
        <v>688</v>
      </c>
      <c r="F13" s="70" t="s">
        <v>607</v>
      </c>
    </row>
    <row r="14" spans="1:6" ht="26.1" customHeight="1">
      <c r="A14" s="70" t="s">
        <v>2312</v>
      </c>
      <c r="B14" s="75" t="s">
        <v>619</v>
      </c>
      <c r="C14" s="70" t="s">
        <v>2313</v>
      </c>
      <c r="D14" s="71" t="s">
        <v>605</v>
      </c>
      <c r="E14" s="70" t="s">
        <v>2314</v>
      </c>
      <c r="F14" s="70" t="s">
        <v>691</v>
      </c>
    </row>
    <row r="15" spans="1:6" ht="26.1" customHeight="1">
      <c r="A15" s="70" t="s">
        <v>2315</v>
      </c>
      <c r="B15" s="76" t="s">
        <v>603</v>
      </c>
      <c r="C15" s="70" t="s">
        <v>2316</v>
      </c>
      <c r="D15" s="71" t="s">
        <v>605</v>
      </c>
      <c r="E15" s="70" t="s">
        <v>610</v>
      </c>
      <c r="F15" s="70" t="s">
        <v>1627</v>
      </c>
    </row>
    <row r="16" spans="1:6" ht="26.1" customHeight="1">
      <c r="A16" s="70" t="s">
        <v>2317</v>
      </c>
      <c r="B16" s="76" t="s">
        <v>603</v>
      </c>
      <c r="C16" s="70" t="s">
        <v>650</v>
      </c>
      <c r="D16" s="71" t="s">
        <v>605</v>
      </c>
      <c r="E16" s="70" t="s">
        <v>688</v>
      </c>
      <c r="F16" s="70" t="s">
        <v>607</v>
      </c>
    </row>
    <row r="17" spans="1:6" ht="26.1" customHeight="1">
      <c r="A17" s="70" t="s">
        <v>2318</v>
      </c>
      <c r="B17" s="75" t="s">
        <v>619</v>
      </c>
      <c r="C17" s="70" t="s">
        <v>650</v>
      </c>
      <c r="D17" s="71" t="s">
        <v>605</v>
      </c>
      <c r="E17" s="70" t="s">
        <v>651</v>
      </c>
      <c r="F17" s="70" t="s">
        <v>607</v>
      </c>
    </row>
    <row r="18" spans="1:6" ht="26.1" customHeight="1">
      <c r="A18" s="70" t="s">
        <v>2319</v>
      </c>
      <c r="B18" s="76" t="s">
        <v>603</v>
      </c>
      <c r="C18" s="70" t="s">
        <v>650</v>
      </c>
      <c r="D18" s="71" t="s">
        <v>605</v>
      </c>
      <c r="E18" s="70" t="s">
        <v>688</v>
      </c>
      <c r="F18" s="70" t="s">
        <v>607</v>
      </c>
    </row>
    <row r="19" spans="1:6" ht="26.1" customHeight="1">
      <c r="A19" s="70" t="s">
        <v>2320</v>
      </c>
      <c r="B19" s="76" t="s">
        <v>603</v>
      </c>
      <c r="C19" s="70" t="s">
        <v>650</v>
      </c>
      <c r="D19" s="71" t="s">
        <v>605</v>
      </c>
      <c r="E19" s="70" t="s">
        <v>688</v>
      </c>
      <c r="F19" s="70" t="s">
        <v>607</v>
      </c>
    </row>
    <row r="20" spans="1:6" ht="26.1" customHeight="1">
      <c r="A20" s="70" t="s">
        <v>2321</v>
      </c>
      <c r="B20" s="76" t="s">
        <v>603</v>
      </c>
      <c r="C20" s="70" t="s">
        <v>2322</v>
      </c>
      <c r="D20" s="71" t="s">
        <v>605</v>
      </c>
      <c r="E20" s="70" t="s">
        <v>606</v>
      </c>
      <c r="F20" s="70" t="s">
        <v>691</v>
      </c>
    </row>
    <row r="21" spans="1:6" ht="26.1" customHeight="1">
      <c r="A21" s="70" t="s">
        <v>2323</v>
      </c>
      <c r="B21" s="75" t="s">
        <v>619</v>
      </c>
      <c r="C21" s="70" t="s">
        <v>650</v>
      </c>
      <c r="D21" s="71" t="s">
        <v>605</v>
      </c>
      <c r="E21" s="70" t="s">
        <v>651</v>
      </c>
      <c r="F21" s="70" t="s">
        <v>607</v>
      </c>
    </row>
    <row r="22" spans="1:6" ht="26.1" customHeight="1">
      <c r="A22" s="70" t="s">
        <v>2324</v>
      </c>
      <c r="B22" s="75" t="s">
        <v>619</v>
      </c>
      <c r="C22" s="70" t="s">
        <v>2325</v>
      </c>
      <c r="D22" s="71" t="s">
        <v>605</v>
      </c>
      <c r="E22" s="70" t="s">
        <v>620</v>
      </c>
      <c r="F22" s="70" t="s">
        <v>691</v>
      </c>
    </row>
    <row r="23" spans="1:6" ht="26.1" customHeight="1">
      <c r="A23" s="70" t="s">
        <v>2326</v>
      </c>
      <c r="B23" s="75" t="s">
        <v>619</v>
      </c>
      <c r="C23" s="70" t="s">
        <v>650</v>
      </c>
      <c r="D23" s="71" t="s">
        <v>605</v>
      </c>
      <c r="E23" s="70" t="s">
        <v>651</v>
      </c>
      <c r="F23" s="70" t="s">
        <v>607</v>
      </c>
    </row>
    <row r="24" spans="1:6" ht="26.1" customHeight="1">
      <c r="A24" s="70" t="s">
        <v>2327</v>
      </c>
      <c r="B24" s="75" t="s">
        <v>619</v>
      </c>
      <c r="C24" s="70" t="s">
        <v>2328</v>
      </c>
      <c r="D24" s="71" t="s">
        <v>605</v>
      </c>
      <c r="E24" s="70" t="s">
        <v>620</v>
      </c>
      <c r="F24" s="70" t="s">
        <v>691</v>
      </c>
    </row>
    <row r="25" spans="1:6" ht="26.1" customHeight="1">
      <c r="A25" s="70" t="s">
        <v>2329</v>
      </c>
      <c r="B25" s="75" t="s">
        <v>619</v>
      </c>
      <c r="C25" s="70" t="s">
        <v>650</v>
      </c>
      <c r="D25" s="71" t="s">
        <v>605</v>
      </c>
      <c r="E25" s="70" t="s">
        <v>651</v>
      </c>
      <c r="F25" s="70" t="s">
        <v>607</v>
      </c>
    </row>
    <row r="26" spans="1:6" ht="26.1" customHeight="1">
      <c r="A26" s="70" t="s">
        <v>2330</v>
      </c>
      <c r="B26" s="76" t="s">
        <v>603</v>
      </c>
      <c r="C26" s="70" t="s">
        <v>2331</v>
      </c>
      <c r="D26" s="71" t="s">
        <v>605</v>
      </c>
      <c r="E26" s="70" t="s">
        <v>2332</v>
      </c>
      <c r="F26" s="70" t="s">
        <v>2333</v>
      </c>
    </row>
    <row r="27" spans="1:6" ht="26.1" customHeight="1">
      <c r="A27" s="70" t="s">
        <v>2334</v>
      </c>
      <c r="B27" s="75" t="s">
        <v>619</v>
      </c>
      <c r="C27" s="70" t="s">
        <v>2335</v>
      </c>
      <c r="D27" s="71" t="s">
        <v>605</v>
      </c>
      <c r="E27" s="70" t="s">
        <v>620</v>
      </c>
      <c r="F27" s="70" t="s">
        <v>691</v>
      </c>
    </row>
    <row r="28" spans="1:6" ht="26.1" customHeight="1">
      <c r="A28" s="70" t="s">
        <v>2336</v>
      </c>
      <c r="B28" s="75" t="s">
        <v>619</v>
      </c>
      <c r="C28" s="70" t="s">
        <v>650</v>
      </c>
      <c r="D28" s="71" t="s">
        <v>605</v>
      </c>
      <c r="E28" s="70" t="s">
        <v>651</v>
      </c>
      <c r="F28" s="70" t="s">
        <v>607</v>
      </c>
    </row>
    <row r="29" spans="1:6" ht="26.1" customHeight="1">
      <c r="A29" s="70" t="s">
        <v>269</v>
      </c>
      <c r="B29" s="76" t="s">
        <v>603</v>
      </c>
      <c r="C29" s="70" t="s">
        <v>2337</v>
      </c>
      <c r="D29" s="71" t="s">
        <v>605</v>
      </c>
      <c r="E29" s="70" t="s">
        <v>1445</v>
      </c>
      <c r="F29" s="70" t="s">
        <v>2338</v>
      </c>
    </row>
    <row r="30" spans="1:6" ht="26.1" customHeight="1">
      <c r="A30" s="70" t="s">
        <v>2339</v>
      </c>
      <c r="B30" s="76" t="s">
        <v>603</v>
      </c>
      <c r="C30" s="70" t="s">
        <v>2340</v>
      </c>
      <c r="D30" s="71" t="s">
        <v>605</v>
      </c>
      <c r="E30" s="70" t="s">
        <v>2047</v>
      </c>
      <c r="F30" s="70" t="s">
        <v>1940</v>
      </c>
    </row>
    <row r="31" spans="1:6" ht="26.1" customHeight="1">
      <c r="A31" s="70" t="s">
        <v>2341</v>
      </c>
      <c r="B31" s="75" t="s">
        <v>619</v>
      </c>
      <c r="C31" s="70" t="s">
        <v>650</v>
      </c>
      <c r="D31" s="71" t="s">
        <v>605</v>
      </c>
      <c r="E31" s="70" t="s">
        <v>651</v>
      </c>
      <c r="F31" s="70" t="s">
        <v>607</v>
      </c>
    </row>
    <row r="32" spans="1:6" ht="26.1" customHeight="1">
      <c r="A32" s="70" t="s">
        <v>60</v>
      </c>
      <c r="B32" s="76" t="s">
        <v>603</v>
      </c>
      <c r="C32" s="70" t="s">
        <v>2342</v>
      </c>
      <c r="D32" s="71" t="s">
        <v>605</v>
      </c>
      <c r="E32" s="70" t="s">
        <v>606</v>
      </c>
      <c r="F32" s="70" t="s">
        <v>691</v>
      </c>
    </row>
    <row r="33" spans="1:6" ht="26.1" customHeight="1">
      <c r="A33" s="70" t="s">
        <v>2343</v>
      </c>
      <c r="B33" s="75" t="s">
        <v>619</v>
      </c>
      <c r="C33" s="70" t="s">
        <v>1414</v>
      </c>
      <c r="D33" s="71" t="s">
        <v>605</v>
      </c>
      <c r="E33" s="70" t="s">
        <v>620</v>
      </c>
      <c r="F33" s="70" t="s">
        <v>607</v>
      </c>
    </row>
    <row r="34" spans="1:6" ht="26.1" customHeight="1">
      <c r="A34" s="70" t="s">
        <v>2344</v>
      </c>
      <c r="B34" s="76" t="s">
        <v>603</v>
      </c>
      <c r="C34" s="70" t="s">
        <v>609</v>
      </c>
      <c r="D34" s="71" t="s">
        <v>605</v>
      </c>
      <c r="E34" s="70" t="s">
        <v>610</v>
      </c>
      <c r="F34" s="70" t="s">
        <v>870</v>
      </c>
    </row>
    <row r="35" spans="1:6" ht="26.1" customHeight="1">
      <c r="A35" s="70" t="s">
        <v>115</v>
      </c>
      <c r="B35" s="76" t="s">
        <v>603</v>
      </c>
      <c r="C35" s="70" t="s">
        <v>1494</v>
      </c>
      <c r="D35" s="71" t="s">
        <v>605</v>
      </c>
      <c r="E35" s="70" t="s">
        <v>911</v>
      </c>
      <c r="F35" s="70" t="s">
        <v>1385</v>
      </c>
    </row>
    <row r="36" spans="1:6" ht="26.1" customHeight="1">
      <c r="A36" s="70" t="s">
        <v>2345</v>
      </c>
      <c r="B36" s="75" t="s">
        <v>619</v>
      </c>
      <c r="C36" s="70" t="s">
        <v>650</v>
      </c>
      <c r="D36" s="71" t="s">
        <v>605</v>
      </c>
      <c r="E36" s="70" t="s">
        <v>651</v>
      </c>
      <c r="F36" s="70" t="s">
        <v>607</v>
      </c>
    </row>
    <row r="37" spans="1:6" ht="26.1" customHeight="1">
      <c r="A37" s="70" t="s">
        <v>2346</v>
      </c>
      <c r="B37" s="76" t="s">
        <v>603</v>
      </c>
      <c r="C37" s="70" t="s">
        <v>2347</v>
      </c>
      <c r="D37" s="71" t="s">
        <v>605</v>
      </c>
      <c r="E37" s="70" t="s">
        <v>610</v>
      </c>
      <c r="F37" s="70" t="s">
        <v>1434</v>
      </c>
    </row>
    <row r="38" spans="1:6" ht="26.1" customHeight="1">
      <c r="A38" s="70" t="s">
        <v>2348</v>
      </c>
      <c r="B38" s="76" t="s">
        <v>603</v>
      </c>
      <c r="C38" s="70" t="s">
        <v>2349</v>
      </c>
      <c r="D38" s="71" t="s">
        <v>605</v>
      </c>
      <c r="E38" s="70" t="s">
        <v>610</v>
      </c>
      <c r="F38" s="70" t="s">
        <v>691</v>
      </c>
    </row>
    <row r="39" spans="1:6" ht="26.1" customHeight="1">
      <c r="A39" s="70" t="s">
        <v>2350</v>
      </c>
      <c r="B39" s="75" t="s">
        <v>619</v>
      </c>
      <c r="C39" s="70" t="s">
        <v>650</v>
      </c>
      <c r="D39" s="71" t="s">
        <v>605</v>
      </c>
      <c r="E39" s="70" t="s">
        <v>651</v>
      </c>
      <c r="F39" s="70" t="s">
        <v>607</v>
      </c>
    </row>
    <row r="40" spans="1:6" ht="26.1" customHeight="1">
      <c r="A40" s="70" t="s">
        <v>2351</v>
      </c>
      <c r="B40" s="76" t="s">
        <v>603</v>
      </c>
      <c r="C40" s="70" t="s">
        <v>2352</v>
      </c>
      <c r="D40" s="71" t="s">
        <v>605</v>
      </c>
      <c r="E40" s="70" t="s">
        <v>804</v>
      </c>
      <c r="F40" s="70" t="s">
        <v>2353</v>
      </c>
    </row>
    <row r="41" spans="1:6" ht="26.1" customHeight="1">
      <c r="A41" s="70" t="s">
        <v>2354</v>
      </c>
      <c r="B41" s="75" t="s">
        <v>619</v>
      </c>
      <c r="C41" s="72" t="s">
        <v>650</v>
      </c>
      <c r="D41" s="73" t="s">
        <v>605</v>
      </c>
      <c r="E41" s="70" t="s">
        <v>651</v>
      </c>
      <c r="F41" s="70" t="s">
        <v>607</v>
      </c>
    </row>
    <row r="42" spans="1:6" ht="26.1" customHeight="1">
      <c r="A42" s="70" t="s">
        <v>2355</v>
      </c>
      <c r="B42" s="76" t="s">
        <v>603</v>
      </c>
      <c r="C42" s="72" t="s">
        <v>2356</v>
      </c>
      <c r="D42" s="73" t="s">
        <v>605</v>
      </c>
      <c r="E42" s="70" t="s">
        <v>683</v>
      </c>
      <c r="F42" s="70" t="s">
        <v>870</v>
      </c>
    </row>
    <row r="43" spans="1:6" ht="26.1" customHeight="1">
      <c r="A43" s="70" t="s">
        <v>2357</v>
      </c>
      <c r="B43" s="76" t="s">
        <v>603</v>
      </c>
      <c r="C43" s="72" t="s">
        <v>2358</v>
      </c>
      <c r="D43" s="73" t="s">
        <v>605</v>
      </c>
      <c r="E43" s="70" t="s">
        <v>613</v>
      </c>
      <c r="F43" s="70" t="s">
        <v>607</v>
      </c>
    </row>
    <row r="44" spans="1:6" ht="26.1" customHeight="1">
      <c r="A44" s="70" t="s">
        <v>2359</v>
      </c>
      <c r="B44" s="75" t="s">
        <v>619</v>
      </c>
      <c r="C44" s="72" t="s">
        <v>650</v>
      </c>
      <c r="D44" s="73" t="s">
        <v>605</v>
      </c>
      <c r="E44" s="70" t="s">
        <v>651</v>
      </c>
      <c r="F44" s="70" t="s">
        <v>607</v>
      </c>
    </row>
    <row r="45" spans="1:6" ht="26.1" customHeight="1">
      <c r="A45" s="70" t="s">
        <v>2360</v>
      </c>
      <c r="B45" s="76" t="s">
        <v>603</v>
      </c>
      <c r="C45" s="72" t="s">
        <v>2361</v>
      </c>
      <c r="D45" s="73" t="s">
        <v>605</v>
      </c>
      <c r="E45" s="70" t="s">
        <v>1930</v>
      </c>
      <c r="F45" s="70" t="s">
        <v>607</v>
      </c>
    </row>
    <row r="46" spans="1:6" ht="26.1" customHeight="1">
      <c r="A46" s="70" t="s">
        <v>2362</v>
      </c>
      <c r="B46" s="75" t="s">
        <v>619</v>
      </c>
      <c r="C46" s="72" t="s">
        <v>650</v>
      </c>
      <c r="D46" s="73" t="s">
        <v>605</v>
      </c>
      <c r="E46" s="70" t="s">
        <v>651</v>
      </c>
      <c r="F46" s="70" t="s">
        <v>607</v>
      </c>
    </row>
    <row r="47" spans="1:6" ht="26.1" customHeight="1">
      <c r="A47" s="70" t="s">
        <v>2363</v>
      </c>
      <c r="B47" s="75" t="s">
        <v>619</v>
      </c>
      <c r="C47" s="72" t="s">
        <v>330</v>
      </c>
      <c r="D47" s="73" t="s">
        <v>605</v>
      </c>
      <c r="E47" s="70" t="s">
        <v>620</v>
      </c>
      <c r="F47" s="70" t="s">
        <v>607</v>
      </c>
    </row>
    <row r="48" spans="1:6" ht="26.1" customHeight="1">
      <c r="A48" s="70" t="s">
        <v>264</v>
      </c>
      <c r="B48" s="76" t="s">
        <v>603</v>
      </c>
      <c r="C48" s="72" t="s">
        <v>2364</v>
      </c>
      <c r="D48" s="73" t="s">
        <v>605</v>
      </c>
      <c r="E48" s="70" t="s">
        <v>804</v>
      </c>
      <c r="F48" s="70" t="s">
        <v>2365</v>
      </c>
    </row>
    <row r="49" spans="1:6" ht="26.1" customHeight="1">
      <c r="A49" s="70" t="s">
        <v>2366</v>
      </c>
      <c r="B49" s="76" t="s">
        <v>603</v>
      </c>
      <c r="C49" s="72" t="s">
        <v>2367</v>
      </c>
      <c r="D49" s="73" t="s">
        <v>605</v>
      </c>
      <c r="E49" s="70" t="s">
        <v>2368</v>
      </c>
      <c r="F49" s="70" t="s">
        <v>637</v>
      </c>
    </row>
    <row r="50" spans="1:6" ht="26.1" customHeight="1">
      <c r="A50" s="70" t="s">
        <v>2369</v>
      </c>
      <c r="B50" s="75" t="s">
        <v>619</v>
      </c>
      <c r="C50" s="72" t="s">
        <v>650</v>
      </c>
      <c r="D50" s="73" t="s">
        <v>605</v>
      </c>
      <c r="E50" s="70" t="s">
        <v>651</v>
      </c>
      <c r="F50" s="70" t="s">
        <v>607</v>
      </c>
    </row>
    <row r="51" spans="1:6" ht="26.1" customHeight="1">
      <c r="A51" s="70" t="s">
        <v>2370</v>
      </c>
      <c r="B51" s="76" t="s">
        <v>603</v>
      </c>
      <c r="C51" s="72" t="s">
        <v>2371</v>
      </c>
      <c r="D51" s="73" t="s">
        <v>605</v>
      </c>
      <c r="E51" s="70" t="s">
        <v>610</v>
      </c>
      <c r="F51" s="70" t="s">
        <v>1434</v>
      </c>
    </row>
    <row r="52" spans="1:6" ht="26.1" customHeight="1">
      <c r="A52" s="70" t="s">
        <v>2372</v>
      </c>
      <c r="B52" s="76" t="s">
        <v>603</v>
      </c>
      <c r="C52" s="72" t="s">
        <v>629</v>
      </c>
      <c r="D52" s="73" t="s">
        <v>605</v>
      </c>
      <c r="E52" s="70" t="s">
        <v>606</v>
      </c>
      <c r="F52" s="70" t="s">
        <v>607</v>
      </c>
    </row>
    <row r="53" spans="1:6" ht="26.1" customHeight="1">
      <c r="A53" s="70" t="s">
        <v>2373</v>
      </c>
      <c r="B53" s="76" t="s">
        <v>603</v>
      </c>
      <c r="C53" s="72" t="s">
        <v>2374</v>
      </c>
      <c r="D53" s="73" t="s">
        <v>605</v>
      </c>
      <c r="E53" s="70" t="s">
        <v>606</v>
      </c>
      <c r="F53" s="70" t="s">
        <v>1434</v>
      </c>
    </row>
    <row r="54" spans="1:6" ht="26.1" customHeight="1">
      <c r="A54" s="70" t="s">
        <v>2375</v>
      </c>
      <c r="B54" s="76" t="s">
        <v>603</v>
      </c>
      <c r="C54" s="72" t="s">
        <v>2376</v>
      </c>
      <c r="D54" s="73" t="s">
        <v>605</v>
      </c>
      <c r="E54" s="70" t="s">
        <v>606</v>
      </c>
      <c r="F54" s="70" t="s">
        <v>1514</v>
      </c>
    </row>
    <row r="55" spans="1:6" ht="26.1" customHeight="1">
      <c r="A55" s="70" t="s">
        <v>299</v>
      </c>
      <c r="B55" s="76" t="s">
        <v>603</v>
      </c>
      <c r="C55" s="72" t="s">
        <v>2377</v>
      </c>
      <c r="D55" s="73" t="s">
        <v>605</v>
      </c>
      <c r="E55" s="70" t="s">
        <v>804</v>
      </c>
      <c r="F55" s="70" t="s">
        <v>2378</v>
      </c>
    </row>
    <row r="56" spans="1:6" ht="26.1" customHeight="1">
      <c r="A56" s="70" t="s">
        <v>2379</v>
      </c>
      <c r="B56" s="75" t="s">
        <v>619</v>
      </c>
      <c r="C56" s="72" t="s">
        <v>650</v>
      </c>
      <c r="D56" s="73" t="s">
        <v>605</v>
      </c>
      <c r="E56" s="70" t="s">
        <v>651</v>
      </c>
      <c r="F56" s="70" t="s">
        <v>607</v>
      </c>
    </row>
    <row r="57" spans="1:6" ht="26.1" customHeight="1">
      <c r="A57" s="70" t="s">
        <v>2380</v>
      </c>
      <c r="B57" s="76" t="s">
        <v>603</v>
      </c>
      <c r="C57" s="72" t="s">
        <v>2381</v>
      </c>
      <c r="D57" s="73" t="s">
        <v>605</v>
      </c>
      <c r="E57" s="70" t="s">
        <v>610</v>
      </c>
      <c r="F57" s="70" t="s">
        <v>2382</v>
      </c>
    </row>
    <row r="58" spans="1:6" ht="26.1" customHeight="1">
      <c r="A58" s="70" t="s">
        <v>2383</v>
      </c>
      <c r="B58" s="75" t="s">
        <v>619</v>
      </c>
      <c r="C58" s="70" t="s">
        <v>629</v>
      </c>
      <c r="D58" s="71" t="s">
        <v>605</v>
      </c>
      <c r="E58" s="70" t="s">
        <v>620</v>
      </c>
      <c r="F58" s="70" t="s">
        <v>607</v>
      </c>
    </row>
    <row r="59" spans="1:6" ht="26.1" customHeight="1">
      <c r="A59" s="70" t="s">
        <v>2384</v>
      </c>
      <c r="B59" s="75" t="s">
        <v>619</v>
      </c>
      <c r="C59" s="74" t="s">
        <v>650</v>
      </c>
      <c r="D59" s="71" t="s">
        <v>605</v>
      </c>
      <c r="E59" s="70" t="s">
        <v>651</v>
      </c>
      <c r="F59" s="70" t="s">
        <v>607</v>
      </c>
    </row>
    <row r="60" spans="1:6" ht="26.1" customHeight="1">
      <c r="A60" s="70" t="s">
        <v>2385</v>
      </c>
      <c r="B60" s="75" t="s">
        <v>619</v>
      </c>
      <c r="C60" s="74" t="s">
        <v>2386</v>
      </c>
      <c r="D60" s="71" t="s">
        <v>605</v>
      </c>
      <c r="E60" s="70" t="s">
        <v>617</v>
      </c>
      <c r="F60" s="70" t="s">
        <v>2387</v>
      </c>
    </row>
    <row r="61" spans="1:6" ht="26.1" customHeight="1">
      <c r="A61" s="70" t="s">
        <v>2388</v>
      </c>
      <c r="B61" s="76" t="s">
        <v>603</v>
      </c>
      <c r="C61" s="74" t="s">
        <v>2389</v>
      </c>
      <c r="D61" s="71" t="s">
        <v>605</v>
      </c>
      <c r="E61" s="70" t="s">
        <v>2390</v>
      </c>
      <c r="F61" s="70" t="s">
        <v>2391</v>
      </c>
    </row>
    <row r="62" spans="1:6" ht="26.1" customHeight="1">
      <c r="A62" s="70" t="s">
        <v>298</v>
      </c>
      <c r="B62" s="77" t="s">
        <v>615</v>
      </c>
      <c r="C62" s="70" t="s">
        <v>2392</v>
      </c>
      <c r="D62" s="71" t="s">
        <v>605</v>
      </c>
      <c r="E62" s="70" t="s">
        <v>825</v>
      </c>
      <c r="F62" s="70" t="s">
        <v>2393</v>
      </c>
    </row>
    <row r="63" spans="1:6" ht="26.1" customHeight="1">
      <c r="A63" s="70" t="s">
        <v>2394</v>
      </c>
      <c r="B63" s="76" t="s">
        <v>603</v>
      </c>
      <c r="C63" s="74" t="s">
        <v>650</v>
      </c>
      <c r="D63" s="71" t="s">
        <v>605</v>
      </c>
      <c r="E63" s="70" t="s">
        <v>688</v>
      </c>
      <c r="F63" s="70" t="s">
        <v>607</v>
      </c>
    </row>
    <row r="64" spans="1:6" ht="26.1" customHeight="1">
      <c r="A64" s="70" t="s">
        <v>2395</v>
      </c>
      <c r="B64" s="76" t="s">
        <v>603</v>
      </c>
      <c r="C64" s="70" t="s">
        <v>2182</v>
      </c>
      <c r="D64" s="71" t="s">
        <v>605</v>
      </c>
      <c r="E64" s="70" t="s">
        <v>610</v>
      </c>
      <c r="F64" s="70" t="s">
        <v>2048</v>
      </c>
    </row>
    <row r="65" spans="1:6" ht="26.1" customHeight="1">
      <c r="A65" s="70" t="s">
        <v>2396</v>
      </c>
      <c r="B65" s="76" t="s">
        <v>603</v>
      </c>
      <c r="C65" s="70" t="s">
        <v>2397</v>
      </c>
      <c r="D65" s="71" t="s">
        <v>605</v>
      </c>
      <c r="E65" s="70" t="s">
        <v>610</v>
      </c>
      <c r="F65" s="70" t="s">
        <v>691</v>
      </c>
    </row>
    <row r="66" spans="1:6" ht="26.1" customHeight="1">
      <c r="A66" s="70" t="s">
        <v>2398</v>
      </c>
      <c r="B66" s="76" t="s">
        <v>603</v>
      </c>
      <c r="C66" s="74" t="s">
        <v>2399</v>
      </c>
      <c r="D66" s="71" t="s">
        <v>605</v>
      </c>
      <c r="E66" s="70" t="s">
        <v>610</v>
      </c>
      <c r="F66" s="70" t="s">
        <v>607</v>
      </c>
    </row>
    <row r="67" spans="1:6" ht="26.1" customHeight="1">
      <c r="A67" s="70" t="s">
        <v>2400</v>
      </c>
      <c r="B67" s="75" t="s">
        <v>619</v>
      </c>
      <c r="C67" s="70" t="s">
        <v>2401</v>
      </c>
      <c r="D67" s="71" t="s">
        <v>605</v>
      </c>
      <c r="E67" s="70" t="s">
        <v>620</v>
      </c>
      <c r="F67" s="70" t="s">
        <v>607</v>
      </c>
    </row>
    <row r="68" spans="1:6" ht="26.1" customHeight="1">
      <c r="A68" s="70" t="s">
        <v>2402</v>
      </c>
      <c r="B68" s="75" t="s">
        <v>619</v>
      </c>
      <c r="C68" s="74" t="s">
        <v>33</v>
      </c>
      <c r="D68" s="71" t="s">
        <v>605</v>
      </c>
      <c r="E68" s="70" t="s">
        <v>620</v>
      </c>
      <c r="F68" s="70" t="s">
        <v>607</v>
      </c>
    </row>
    <row r="69" spans="1:6" ht="26.1" customHeight="1">
      <c r="A69" s="70" t="s">
        <v>2403</v>
      </c>
      <c r="B69" s="76" t="s">
        <v>603</v>
      </c>
      <c r="C69" s="70" t="s">
        <v>2404</v>
      </c>
      <c r="D69" s="71" t="s">
        <v>605</v>
      </c>
      <c r="E69" s="70" t="s">
        <v>610</v>
      </c>
      <c r="F69" s="70" t="s">
        <v>870</v>
      </c>
    </row>
    <row r="70" spans="1:6" ht="26.1" customHeight="1">
      <c r="A70" s="70" t="s">
        <v>431</v>
      </c>
      <c r="B70" s="76" t="s">
        <v>603</v>
      </c>
      <c r="C70" s="70" t="s">
        <v>2405</v>
      </c>
      <c r="D70" s="71" t="s">
        <v>605</v>
      </c>
      <c r="E70" s="70" t="s">
        <v>606</v>
      </c>
      <c r="F70" s="70" t="s">
        <v>2406</v>
      </c>
    </row>
    <row r="71" spans="1:6" ht="15">
      <c r="C71" s="53"/>
      <c r="D71" s="54"/>
    </row>
    <row r="72" spans="1:6" ht="15">
      <c r="C72" s="78" t="s">
        <v>633</v>
      </c>
      <c r="D72" s="79" t="str">
        <f>COUNTIF(D2:D70,"☑")&amp;" / "&amp;COUNTA(A2:A70)</f>
        <v>0 / 69</v>
      </c>
    </row>
  </sheetData>
  <conditionalFormatting sqref="B2:B39">
    <cfRule type="expression" dxfId="68" priority="1">
      <formula>B2="A"</formula>
    </cfRule>
    <cfRule type="expression" dxfId="67" priority="2">
      <formula>B2="B"</formula>
    </cfRule>
    <cfRule type="expression" dxfId="66" priority="3">
      <formula>B2="C"</formula>
    </cfRule>
  </conditionalFormatting>
  <conditionalFormatting sqref="D2:D70">
    <cfRule type="expression" dxfId="65" priority="4">
      <formula>D2="☑"</formula>
    </cfRule>
  </conditionalFormatting>
  <dataValidations count="1">
    <dataValidation type="list" sqref="D2:D70" xr:uid="{00000000-0002-0000-1900-000000000000}">
      <formula1>"☐,☑"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01"/>
  <sheetViews>
    <sheetView workbookViewId="0"/>
  </sheetViews>
  <sheetFormatPr defaultRowHeight="14.25"/>
  <cols>
    <col min="1" max="1" width="34" customWidth="1"/>
    <col min="2" max="2" width="10" customWidth="1"/>
    <col min="3" max="3" width="48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69" t="s">
        <v>598</v>
      </c>
      <c r="B1" s="69" t="s">
        <v>599</v>
      </c>
      <c r="C1" s="69" t="s">
        <v>13</v>
      </c>
      <c r="D1" s="69" t="s">
        <v>3</v>
      </c>
      <c r="E1" s="69" t="s">
        <v>600</v>
      </c>
      <c r="F1" s="69" t="s">
        <v>601</v>
      </c>
    </row>
    <row r="2" spans="1:6" ht="26.1" customHeight="1">
      <c r="A2" s="70" t="s">
        <v>2407</v>
      </c>
      <c r="B2" s="76" t="s">
        <v>603</v>
      </c>
      <c r="C2" s="70" t="s">
        <v>2408</v>
      </c>
      <c r="D2" s="71" t="s">
        <v>605</v>
      </c>
      <c r="E2" s="70" t="s">
        <v>610</v>
      </c>
      <c r="F2" s="70" t="s">
        <v>2409</v>
      </c>
    </row>
    <row r="3" spans="1:6" ht="26.1" customHeight="1">
      <c r="A3" s="70" t="s">
        <v>2410</v>
      </c>
      <c r="B3" s="75" t="s">
        <v>619</v>
      </c>
      <c r="C3" s="70" t="s">
        <v>650</v>
      </c>
      <c r="D3" s="71" t="s">
        <v>605</v>
      </c>
      <c r="E3" s="70" t="s">
        <v>651</v>
      </c>
      <c r="F3" s="70" t="s">
        <v>607</v>
      </c>
    </row>
    <row r="4" spans="1:6" ht="26.1" customHeight="1">
      <c r="A4" s="70" t="s">
        <v>2411</v>
      </c>
      <c r="B4" s="76" t="s">
        <v>603</v>
      </c>
      <c r="C4" s="70" t="s">
        <v>1938</v>
      </c>
      <c r="D4" s="71" t="s">
        <v>605</v>
      </c>
      <c r="E4" s="70" t="s">
        <v>1939</v>
      </c>
      <c r="F4" s="70" t="s">
        <v>2412</v>
      </c>
    </row>
    <row r="5" spans="1:6" ht="26.1" customHeight="1">
      <c r="A5" s="70" t="s">
        <v>2413</v>
      </c>
      <c r="B5" s="76" t="s">
        <v>603</v>
      </c>
      <c r="C5" s="70" t="s">
        <v>2414</v>
      </c>
      <c r="D5" s="71" t="s">
        <v>605</v>
      </c>
      <c r="E5" s="70" t="s">
        <v>2415</v>
      </c>
      <c r="F5" s="70" t="s">
        <v>2416</v>
      </c>
    </row>
    <row r="6" spans="1:6" ht="26.1" customHeight="1">
      <c r="A6" s="70" t="s">
        <v>2417</v>
      </c>
      <c r="B6" s="76" t="s">
        <v>603</v>
      </c>
      <c r="C6" s="70" t="s">
        <v>2418</v>
      </c>
      <c r="D6" s="71" t="s">
        <v>605</v>
      </c>
      <c r="E6" s="70" t="s">
        <v>606</v>
      </c>
      <c r="F6" s="70" t="s">
        <v>691</v>
      </c>
    </row>
    <row r="7" spans="1:6" ht="26.1" customHeight="1">
      <c r="A7" s="70" t="s">
        <v>2419</v>
      </c>
      <c r="B7" s="75" t="s">
        <v>619</v>
      </c>
      <c r="C7" s="70" t="s">
        <v>650</v>
      </c>
      <c r="D7" s="71" t="s">
        <v>605</v>
      </c>
      <c r="E7" s="70" t="s">
        <v>651</v>
      </c>
      <c r="F7" s="70" t="s">
        <v>607</v>
      </c>
    </row>
    <row r="8" spans="1:6" ht="26.1" customHeight="1">
      <c r="A8" s="70" t="s">
        <v>2420</v>
      </c>
      <c r="B8" s="76" t="s">
        <v>603</v>
      </c>
      <c r="C8" s="70" t="s">
        <v>2421</v>
      </c>
      <c r="D8" s="71" t="s">
        <v>605</v>
      </c>
      <c r="E8" s="70" t="s">
        <v>610</v>
      </c>
      <c r="F8" s="70" t="s">
        <v>607</v>
      </c>
    </row>
    <row r="9" spans="1:6" ht="26.1" customHeight="1">
      <c r="A9" s="70" t="s">
        <v>2422</v>
      </c>
      <c r="B9" s="76" t="s">
        <v>603</v>
      </c>
      <c r="C9" s="70" t="s">
        <v>2423</v>
      </c>
      <c r="D9" s="71" t="s">
        <v>605</v>
      </c>
      <c r="E9" s="70" t="s">
        <v>2424</v>
      </c>
      <c r="F9" s="70" t="s">
        <v>2425</v>
      </c>
    </row>
    <row r="10" spans="1:6" ht="26.1" customHeight="1">
      <c r="A10" s="70" t="s">
        <v>132</v>
      </c>
      <c r="B10" s="76" t="s">
        <v>603</v>
      </c>
      <c r="C10" s="70" t="s">
        <v>2426</v>
      </c>
      <c r="D10" s="71" t="s">
        <v>605</v>
      </c>
      <c r="E10" s="70" t="s">
        <v>606</v>
      </c>
      <c r="F10" s="70" t="s">
        <v>2427</v>
      </c>
    </row>
    <row r="11" spans="1:6" ht="26.1" customHeight="1">
      <c r="A11" s="70" t="s">
        <v>2428</v>
      </c>
      <c r="B11" s="75" t="s">
        <v>619</v>
      </c>
      <c r="C11" s="70" t="s">
        <v>650</v>
      </c>
      <c r="D11" s="71" t="s">
        <v>605</v>
      </c>
      <c r="E11" s="70" t="s">
        <v>651</v>
      </c>
      <c r="F11" s="70" t="s">
        <v>607</v>
      </c>
    </row>
    <row r="12" spans="1:6" ht="26.1" customHeight="1">
      <c r="A12" s="70" t="s">
        <v>2429</v>
      </c>
      <c r="B12" s="76" t="s">
        <v>603</v>
      </c>
      <c r="C12" s="70" t="s">
        <v>2430</v>
      </c>
      <c r="D12" s="71" t="s">
        <v>605</v>
      </c>
      <c r="E12" s="70" t="s">
        <v>606</v>
      </c>
      <c r="F12" s="70" t="s">
        <v>691</v>
      </c>
    </row>
    <row r="13" spans="1:6" ht="26.1" customHeight="1">
      <c r="A13" s="70" t="s">
        <v>2431</v>
      </c>
      <c r="B13" s="75" t="s">
        <v>619</v>
      </c>
      <c r="C13" s="70" t="s">
        <v>650</v>
      </c>
      <c r="D13" s="71" t="s">
        <v>605</v>
      </c>
      <c r="E13" s="70" t="s">
        <v>651</v>
      </c>
      <c r="F13" s="70" t="s">
        <v>607</v>
      </c>
    </row>
    <row r="14" spans="1:6" ht="26.1" customHeight="1">
      <c r="A14" s="70" t="s">
        <v>2432</v>
      </c>
      <c r="B14" s="76" t="s">
        <v>603</v>
      </c>
      <c r="C14" s="70" t="s">
        <v>2433</v>
      </c>
      <c r="D14" s="71" t="s">
        <v>605</v>
      </c>
      <c r="E14" s="70" t="s">
        <v>610</v>
      </c>
      <c r="F14" s="70" t="s">
        <v>870</v>
      </c>
    </row>
    <row r="15" spans="1:6" ht="26.1" customHeight="1">
      <c r="A15" s="70" t="s">
        <v>2434</v>
      </c>
      <c r="B15" s="77" t="s">
        <v>615</v>
      </c>
      <c r="C15" s="70" t="s">
        <v>2435</v>
      </c>
      <c r="D15" s="71" t="s">
        <v>605</v>
      </c>
      <c r="E15" s="70" t="s">
        <v>915</v>
      </c>
      <c r="F15" s="70" t="s">
        <v>2436</v>
      </c>
    </row>
    <row r="16" spans="1:6" ht="26.1" customHeight="1">
      <c r="A16" s="70" t="s">
        <v>2437</v>
      </c>
      <c r="B16" s="76" t="s">
        <v>603</v>
      </c>
      <c r="C16" s="70" t="s">
        <v>2438</v>
      </c>
      <c r="D16" s="71" t="s">
        <v>605</v>
      </c>
      <c r="E16" s="70" t="s">
        <v>2439</v>
      </c>
      <c r="F16" s="70" t="s">
        <v>2440</v>
      </c>
    </row>
    <row r="17" spans="1:6" ht="26.1" customHeight="1">
      <c r="A17" s="70" t="s">
        <v>2441</v>
      </c>
      <c r="B17" s="75" t="s">
        <v>619</v>
      </c>
      <c r="C17" s="70" t="s">
        <v>650</v>
      </c>
      <c r="D17" s="71" t="s">
        <v>605</v>
      </c>
      <c r="E17" s="70" t="s">
        <v>651</v>
      </c>
      <c r="F17" s="70" t="s">
        <v>607</v>
      </c>
    </row>
    <row r="18" spans="1:6" ht="26.1" customHeight="1">
      <c r="A18" s="70" t="s">
        <v>2442</v>
      </c>
      <c r="B18" s="76" t="s">
        <v>603</v>
      </c>
      <c r="C18" s="70" t="s">
        <v>1351</v>
      </c>
      <c r="D18" s="71" t="s">
        <v>605</v>
      </c>
      <c r="E18" s="70" t="s">
        <v>610</v>
      </c>
      <c r="F18" s="70" t="s">
        <v>607</v>
      </c>
    </row>
    <row r="19" spans="1:6" ht="26.1" customHeight="1">
      <c r="A19" s="70" t="s">
        <v>2443</v>
      </c>
      <c r="B19" s="75" t="s">
        <v>619</v>
      </c>
      <c r="C19" s="70" t="s">
        <v>888</v>
      </c>
      <c r="D19" s="71" t="s">
        <v>605</v>
      </c>
      <c r="E19" s="70" t="s">
        <v>620</v>
      </c>
      <c r="F19" s="70" t="s">
        <v>607</v>
      </c>
    </row>
    <row r="20" spans="1:6" ht="26.1" customHeight="1">
      <c r="A20" s="70" t="s">
        <v>2444</v>
      </c>
      <c r="B20" s="76" t="s">
        <v>603</v>
      </c>
      <c r="C20" s="70" t="s">
        <v>2445</v>
      </c>
      <c r="D20" s="71" t="s">
        <v>605</v>
      </c>
      <c r="E20" s="70" t="s">
        <v>606</v>
      </c>
      <c r="F20" s="70" t="s">
        <v>870</v>
      </c>
    </row>
    <row r="21" spans="1:6" ht="26.1" customHeight="1">
      <c r="A21" s="70" t="s">
        <v>2446</v>
      </c>
      <c r="B21" s="76" t="s">
        <v>603</v>
      </c>
      <c r="C21" s="70" t="s">
        <v>2447</v>
      </c>
      <c r="D21" s="71" t="s">
        <v>605</v>
      </c>
      <c r="E21" s="70" t="s">
        <v>610</v>
      </c>
      <c r="F21" s="70" t="s">
        <v>607</v>
      </c>
    </row>
    <row r="22" spans="1:6" ht="26.1" customHeight="1">
      <c r="A22" s="70" t="s">
        <v>2448</v>
      </c>
      <c r="B22" s="75" t="s">
        <v>619</v>
      </c>
      <c r="C22" s="70" t="s">
        <v>650</v>
      </c>
      <c r="D22" s="71" t="s">
        <v>605</v>
      </c>
      <c r="E22" s="70" t="s">
        <v>651</v>
      </c>
      <c r="F22" s="70" t="s">
        <v>607</v>
      </c>
    </row>
    <row r="23" spans="1:6" ht="26.1" customHeight="1">
      <c r="A23" s="70" t="s">
        <v>2449</v>
      </c>
      <c r="B23" s="75" t="s">
        <v>619</v>
      </c>
      <c r="C23" s="70" t="s">
        <v>2450</v>
      </c>
      <c r="D23" s="71" t="s">
        <v>605</v>
      </c>
      <c r="E23" s="70" t="s">
        <v>620</v>
      </c>
      <c r="F23" s="70" t="s">
        <v>1434</v>
      </c>
    </row>
    <row r="24" spans="1:6" ht="26.1" customHeight="1">
      <c r="A24" s="70" t="s">
        <v>2451</v>
      </c>
      <c r="B24" s="76" t="s">
        <v>603</v>
      </c>
      <c r="C24" s="70" t="s">
        <v>2452</v>
      </c>
      <c r="D24" s="71" t="s">
        <v>605</v>
      </c>
      <c r="E24" s="70" t="s">
        <v>610</v>
      </c>
      <c r="F24" s="70" t="s">
        <v>2453</v>
      </c>
    </row>
    <row r="25" spans="1:6" ht="26.1" customHeight="1">
      <c r="A25" s="70" t="s">
        <v>2454</v>
      </c>
      <c r="B25" s="76" t="s">
        <v>603</v>
      </c>
      <c r="C25" s="70" t="s">
        <v>2455</v>
      </c>
      <c r="D25" s="71" t="s">
        <v>605</v>
      </c>
      <c r="E25" s="70" t="s">
        <v>927</v>
      </c>
      <c r="F25" s="70" t="s">
        <v>2456</v>
      </c>
    </row>
    <row r="26" spans="1:6" ht="26.1" customHeight="1">
      <c r="A26" s="70" t="s">
        <v>2457</v>
      </c>
      <c r="B26" s="75" t="s">
        <v>619</v>
      </c>
      <c r="C26" s="70" t="s">
        <v>2458</v>
      </c>
      <c r="D26" s="71" t="s">
        <v>605</v>
      </c>
      <c r="E26" s="70" t="s">
        <v>620</v>
      </c>
      <c r="F26" s="70" t="s">
        <v>691</v>
      </c>
    </row>
    <row r="27" spans="1:6" ht="26.1" customHeight="1">
      <c r="A27" s="70" t="s">
        <v>2459</v>
      </c>
      <c r="B27" s="75" t="s">
        <v>619</v>
      </c>
      <c r="C27" s="70" t="s">
        <v>2313</v>
      </c>
      <c r="D27" s="71" t="s">
        <v>605</v>
      </c>
      <c r="E27" s="70" t="s">
        <v>2314</v>
      </c>
      <c r="F27" s="70" t="s">
        <v>691</v>
      </c>
    </row>
    <row r="28" spans="1:6" ht="26.1" customHeight="1">
      <c r="A28" s="70" t="s">
        <v>2460</v>
      </c>
      <c r="B28" s="76" t="s">
        <v>603</v>
      </c>
      <c r="C28" s="70" t="s">
        <v>2461</v>
      </c>
      <c r="D28" s="71" t="s">
        <v>605</v>
      </c>
      <c r="E28" s="70" t="s">
        <v>610</v>
      </c>
      <c r="F28" s="70" t="s">
        <v>691</v>
      </c>
    </row>
    <row r="29" spans="1:6" ht="26.1" customHeight="1">
      <c r="A29" s="70" t="s">
        <v>2462</v>
      </c>
      <c r="B29" s="75" t="s">
        <v>619</v>
      </c>
      <c r="C29" s="70" t="s">
        <v>650</v>
      </c>
      <c r="D29" s="71" t="s">
        <v>605</v>
      </c>
      <c r="E29" s="70" t="s">
        <v>651</v>
      </c>
      <c r="F29" s="70" t="s">
        <v>607</v>
      </c>
    </row>
    <row r="30" spans="1:6" ht="26.1" customHeight="1">
      <c r="A30" s="70" t="s">
        <v>2463</v>
      </c>
      <c r="B30" s="75" t="s">
        <v>619</v>
      </c>
      <c r="C30" s="70" t="s">
        <v>2464</v>
      </c>
      <c r="D30" s="71" t="s">
        <v>605</v>
      </c>
      <c r="E30" s="70" t="s">
        <v>620</v>
      </c>
      <c r="F30" s="70" t="s">
        <v>691</v>
      </c>
    </row>
    <row r="31" spans="1:6" ht="26.1" customHeight="1">
      <c r="A31" s="70" t="s">
        <v>2465</v>
      </c>
      <c r="B31" s="76" t="s">
        <v>603</v>
      </c>
      <c r="C31" s="70" t="s">
        <v>2466</v>
      </c>
      <c r="D31" s="71" t="s">
        <v>605</v>
      </c>
      <c r="E31" s="70" t="s">
        <v>610</v>
      </c>
      <c r="F31" s="70" t="s">
        <v>691</v>
      </c>
    </row>
    <row r="32" spans="1:6" ht="26.1" customHeight="1">
      <c r="A32" s="70" t="s">
        <v>2467</v>
      </c>
      <c r="B32" s="75" t="s">
        <v>619</v>
      </c>
      <c r="C32" s="70" t="s">
        <v>650</v>
      </c>
      <c r="D32" s="71" t="s">
        <v>605</v>
      </c>
      <c r="E32" s="70" t="s">
        <v>651</v>
      </c>
      <c r="F32" s="70" t="s">
        <v>607</v>
      </c>
    </row>
    <row r="33" spans="1:6" ht="26.1" customHeight="1">
      <c r="A33" s="70" t="s">
        <v>2468</v>
      </c>
      <c r="B33" s="75" t="s">
        <v>619</v>
      </c>
      <c r="C33" s="70" t="s">
        <v>2469</v>
      </c>
      <c r="D33" s="71" t="s">
        <v>605</v>
      </c>
      <c r="E33" s="70" t="s">
        <v>620</v>
      </c>
      <c r="F33" s="70" t="s">
        <v>1385</v>
      </c>
    </row>
    <row r="34" spans="1:6" ht="26.1" customHeight="1">
      <c r="A34" s="70" t="s">
        <v>2470</v>
      </c>
      <c r="B34" s="75" t="s">
        <v>619</v>
      </c>
      <c r="C34" s="70" t="s">
        <v>930</v>
      </c>
      <c r="D34" s="71" t="s">
        <v>605</v>
      </c>
      <c r="E34" s="70" t="s">
        <v>620</v>
      </c>
      <c r="F34" s="70" t="s">
        <v>607</v>
      </c>
    </row>
    <row r="35" spans="1:6" ht="26.1" customHeight="1">
      <c r="A35" s="70" t="s">
        <v>2471</v>
      </c>
      <c r="B35" s="76" t="s">
        <v>603</v>
      </c>
      <c r="C35" s="70" t="s">
        <v>650</v>
      </c>
      <c r="D35" s="71" t="s">
        <v>605</v>
      </c>
      <c r="E35" s="70" t="s">
        <v>688</v>
      </c>
      <c r="F35" s="70" t="s">
        <v>607</v>
      </c>
    </row>
    <row r="36" spans="1:6" ht="26.1" customHeight="1">
      <c r="A36" s="70" t="s">
        <v>2472</v>
      </c>
      <c r="B36" s="76" t="s">
        <v>603</v>
      </c>
      <c r="C36" s="70" t="s">
        <v>2473</v>
      </c>
      <c r="D36" s="71" t="s">
        <v>605</v>
      </c>
      <c r="E36" s="70" t="s">
        <v>2100</v>
      </c>
      <c r="F36" s="70" t="s">
        <v>2474</v>
      </c>
    </row>
    <row r="37" spans="1:6" ht="26.1" customHeight="1">
      <c r="A37" s="70" t="s">
        <v>2475</v>
      </c>
      <c r="B37" s="76" t="s">
        <v>603</v>
      </c>
      <c r="C37" s="70" t="s">
        <v>609</v>
      </c>
      <c r="D37" s="71" t="s">
        <v>605</v>
      </c>
      <c r="E37" s="70" t="s">
        <v>911</v>
      </c>
      <c r="F37" s="70" t="s">
        <v>607</v>
      </c>
    </row>
    <row r="38" spans="1:6" ht="26.1" customHeight="1">
      <c r="A38" s="70" t="s">
        <v>2476</v>
      </c>
      <c r="B38" s="76" t="s">
        <v>603</v>
      </c>
      <c r="C38" s="70" t="s">
        <v>2477</v>
      </c>
      <c r="D38" s="71" t="s">
        <v>605</v>
      </c>
      <c r="E38" s="70" t="s">
        <v>606</v>
      </c>
      <c r="F38" s="70" t="s">
        <v>691</v>
      </c>
    </row>
    <row r="39" spans="1:6" ht="26.1" customHeight="1">
      <c r="A39" s="70" t="s">
        <v>2478</v>
      </c>
      <c r="B39" s="76" t="s">
        <v>603</v>
      </c>
      <c r="C39" s="70" t="s">
        <v>2479</v>
      </c>
      <c r="D39" s="71" t="s">
        <v>605</v>
      </c>
      <c r="E39" s="70" t="s">
        <v>2047</v>
      </c>
      <c r="F39" s="70" t="s">
        <v>2480</v>
      </c>
    </row>
    <row r="40" spans="1:6" ht="26.1" customHeight="1">
      <c r="A40" s="70" t="s">
        <v>2481</v>
      </c>
      <c r="B40" s="76" t="s">
        <v>603</v>
      </c>
      <c r="C40" s="70" t="s">
        <v>888</v>
      </c>
      <c r="D40" s="71" t="s">
        <v>605</v>
      </c>
      <c r="E40" s="70" t="s">
        <v>606</v>
      </c>
      <c r="F40" s="70" t="s">
        <v>607</v>
      </c>
    </row>
    <row r="41" spans="1:6" ht="26.1" customHeight="1">
      <c r="A41" s="70" t="s">
        <v>2482</v>
      </c>
      <c r="B41" s="75" t="s">
        <v>619</v>
      </c>
      <c r="C41" s="70" t="s">
        <v>650</v>
      </c>
      <c r="D41" s="71" t="s">
        <v>605</v>
      </c>
      <c r="E41" s="70" t="s">
        <v>651</v>
      </c>
      <c r="F41" s="70" t="s">
        <v>607</v>
      </c>
    </row>
    <row r="42" spans="1:6" ht="26.1" customHeight="1">
      <c r="A42" s="70" t="s">
        <v>2483</v>
      </c>
      <c r="B42" s="76" t="s">
        <v>603</v>
      </c>
      <c r="C42" s="70" t="s">
        <v>2484</v>
      </c>
      <c r="D42" s="71" t="s">
        <v>605</v>
      </c>
      <c r="E42" s="70" t="s">
        <v>610</v>
      </c>
      <c r="F42" s="70" t="s">
        <v>691</v>
      </c>
    </row>
    <row r="43" spans="1:6" ht="26.1" customHeight="1">
      <c r="A43" s="70" t="s">
        <v>2485</v>
      </c>
      <c r="B43" s="75" t="s">
        <v>619</v>
      </c>
      <c r="C43" s="70" t="s">
        <v>650</v>
      </c>
      <c r="D43" s="71" t="s">
        <v>605</v>
      </c>
      <c r="E43" s="70" t="s">
        <v>651</v>
      </c>
      <c r="F43" s="70" t="s">
        <v>607</v>
      </c>
    </row>
    <row r="44" spans="1:6" ht="26.1" customHeight="1">
      <c r="A44" s="70" t="s">
        <v>2486</v>
      </c>
      <c r="B44" s="76" t="s">
        <v>603</v>
      </c>
      <c r="C44" s="70" t="s">
        <v>2487</v>
      </c>
      <c r="D44" s="71" t="s">
        <v>605</v>
      </c>
      <c r="E44" s="70" t="s">
        <v>610</v>
      </c>
      <c r="F44" s="70" t="s">
        <v>691</v>
      </c>
    </row>
    <row r="45" spans="1:6" ht="26.1" customHeight="1">
      <c r="A45" s="70" t="s">
        <v>2488</v>
      </c>
      <c r="B45" s="75" t="s">
        <v>619</v>
      </c>
      <c r="C45" s="70" t="s">
        <v>650</v>
      </c>
      <c r="D45" s="71" t="s">
        <v>605</v>
      </c>
      <c r="E45" s="70" t="s">
        <v>651</v>
      </c>
      <c r="F45" s="70" t="s">
        <v>607</v>
      </c>
    </row>
    <row r="46" spans="1:6" ht="26.1" customHeight="1">
      <c r="A46" s="70" t="s">
        <v>2489</v>
      </c>
      <c r="B46" s="76" t="s">
        <v>603</v>
      </c>
      <c r="C46" s="70" t="s">
        <v>632</v>
      </c>
      <c r="D46" s="71" t="s">
        <v>605</v>
      </c>
      <c r="E46" s="70" t="s">
        <v>610</v>
      </c>
      <c r="F46" s="70" t="s">
        <v>607</v>
      </c>
    </row>
    <row r="47" spans="1:6" ht="26.1" customHeight="1">
      <c r="A47" s="70" t="s">
        <v>2490</v>
      </c>
      <c r="B47" s="75" t="s">
        <v>619</v>
      </c>
      <c r="C47" s="70" t="s">
        <v>650</v>
      </c>
      <c r="D47" s="71" t="s">
        <v>605</v>
      </c>
      <c r="E47" s="70" t="s">
        <v>651</v>
      </c>
      <c r="F47" s="70" t="s">
        <v>607</v>
      </c>
    </row>
    <row r="48" spans="1:6" ht="26.1" customHeight="1">
      <c r="A48" s="70" t="s">
        <v>2491</v>
      </c>
      <c r="B48" s="76" t="s">
        <v>603</v>
      </c>
      <c r="C48" s="70" t="s">
        <v>2492</v>
      </c>
      <c r="D48" s="71" t="s">
        <v>605</v>
      </c>
      <c r="E48" s="70" t="s">
        <v>911</v>
      </c>
      <c r="F48" s="70" t="s">
        <v>2493</v>
      </c>
    </row>
    <row r="49" spans="1:6" ht="26.1" customHeight="1">
      <c r="A49" s="70" t="s">
        <v>2494</v>
      </c>
      <c r="B49" s="75" t="s">
        <v>619</v>
      </c>
      <c r="C49" s="70" t="s">
        <v>650</v>
      </c>
      <c r="D49" s="71" t="s">
        <v>605</v>
      </c>
      <c r="E49" s="70" t="s">
        <v>651</v>
      </c>
      <c r="F49" s="70" t="s">
        <v>607</v>
      </c>
    </row>
    <row r="50" spans="1:6" ht="26.1" customHeight="1">
      <c r="A50" s="70" t="s">
        <v>2495</v>
      </c>
      <c r="B50" s="75" t="s">
        <v>619</v>
      </c>
      <c r="C50" s="70" t="s">
        <v>888</v>
      </c>
      <c r="D50" s="71" t="s">
        <v>605</v>
      </c>
      <c r="E50" s="70" t="s">
        <v>620</v>
      </c>
      <c r="F50" s="70" t="s">
        <v>607</v>
      </c>
    </row>
    <row r="51" spans="1:6" ht="26.1" customHeight="1">
      <c r="A51" s="70" t="s">
        <v>2496</v>
      </c>
      <c r="B51" s="76" t="s">
        <v>603</v>
      </c>
      <c r="C51" s="70" t="s">
        <v>63</v>
      </c>
      <c r="D51" s="71" t="s">
        <v>605</v>
      </c>
      <c r="E51" s="70" t="s">
        <v>610</v>
      </c>
      <c r="F51" s="70" t="s">
        <v>607</v>
      </c>
    </row>
    <row r="52" spans="1:6" ht="26.1" customHeight="1">
      <c r="A52" s="70" t="s">
        <v>2497</v>
      </c>
      <c r="B52" s="75" t="s">
        <v>619</v>
      </c>
      <c r="C52" s="70" t="s">
        <v>650</v>
      </c>
      <c r="D52" s="71" t="s">
        <v>605</v>
      </c>
      <c r="E52" s="70" t="s">
        <v>651</v>
      </c>
      <c r="F52" s="70" t="s">
        <v>607</v>
      </c>
    </row>
    <row r="53" spans="1:6" ht="26.1" customHeight="1">
      <c r="A53" s="70" t="s">
        <v>2498</v>
      </c>
      <c r="B53" s="75" t="s">
        <v>619</v>
      </c>
      <c r="C53" s="70" t="s">
        <v>2499</v>
      </c>
      <c r="D53" s="71" t="s">
        <v>605</v>
      </c>
      <c r="E53" s="70" t="s">
        <v>620</v>
      </c>
      <c r="F53" s="70" t="s">
        <v>691</v>
      </c>
    </row>
    <row r="54" spans="1:6" ht="26.1" customHeight="1">
      <c r="A54" s="70" t="s">
        <v>2500</v>
      </c>
      <c r="B54" s="75" t="s">
        <v>619</v>
      </c>
      <c r="C54" s="70" t="s">
        <v>930</v>
      </c>
      <c r="D54" s="71" t="s">
        <v>605</v>
      </c>
      <c r="E54" s="70" t="s">
        <v>620</v>
      </c>
      <c r="F54" s="70" t="s">
        <v>607</v>
      </c>
    </row>
    <row r="55" spans="1:6" ht="26.1" customHeight="1">
      <c r="A55" s="70" t="s">
        <v>2501</v>
      </c>
      <c r="B55" s="76" t="s">
        <v>603</v>
      </c>
      <c r="C55" s="72" t="s">
        <v>2461</v>
      </c>
      <c r="D55" s="73" t="s">
        <v>605</v>
      </c>
      <c r="E55" s="70" t="s">
        <v>610</v>
      </c>
      <c r="F55" s="70" t="s">
        <v>691</v>
      </c>
    </row>
    <row r="56" spans="1:6" ht="26.1" customHeight="1">
      <c r="A56" s="70" t="s">
        <v>2502</v>
      </c>
      <c r="B56" s="76" t="s">
        <v>603</v>
      </c>
      <c r="C56" s="72" t="s">
        <v>2503</v>
      </c>
      <c r="D56" s="73" t="s">
        <v>605</v>
      </c>
      <c r="E56" s="70" t="s">
        <v>1939</v>
      </c>
      <c r="F56" s="70" t="s">
        <v>2504</v>
      </c>
    </row>
    <row r="57" spans="1:6" ht="26.1" customHeight="1">
      <c r="A57" s="70" t="s">
        <v>2505</v>
      </c>
      <c r="B57" s="76" t="s">
        <v>603</v>
      </c>
      <c r="C57" s="72" t="s">
        <v>2506</v>
      </c>
      <c r="D57" s="73" t="s">
        <v>605</v>
      </c>
      <c r="E57" s="70" t="s">
        <v>606</v>
      </c>
      <c r="F57" s="70" t="s">
        <v>870</v>
      </c>
    </row>
    <row r="58" spans="1:6" ht="26.1" customHeight="1">
      <c r="A58" s="70" t="s">
        <v>2507</v>
      </c>
      <c r="B58" s="76" t="s">
        <v>603</v>
      </c>
      <c r="C58" s="72" t="s">
        <v>2508</v>
      </c>
      <c r="D58" s="73" t="s">
        <v>605</v>
      </c>
      <c r="E58" s="70" t="s">
        <v>610</v>
      </c>
      <c r="F58" s="70" t="s">
        <v>691</v>
      </c>
    </row>
    <row r="59" spans="1:6" ht="26.1" customHeight="1">
      <c r="A59" s="70" t="s">
        <v>2509</v>
      </c>
      <c r="B59" s="75" t="s">
        <v>619</v>
      </c>
      <c r="C59" s="72" t="s">
        <v>650</v>
      </c>
      <c r="D59" s="73" t="s">
        <v>605</v>
      </c>
      <c r="E59" s="70" t="s">
        <v>651</v>
      </c>
      <c r="F59" s="70" t="s">
        <v>607</v>
      </c>
    </row>
    <row r="60" spans="1:6" ht="26.1" customHeight="1">
      <c r="A60" s="70" t="s">
        <v>2510</v>
      </c>
      <c r="B60" s="75" t="s">
        <v>619</v>
      </c>
      <c r="C60" s="72" t="s">
        <v>650</v>
      </c>
      <c r="D60" s="73" t="s">
        <v>605</v>
      </c>
      <c r="E60" s="70" t="s">
        <v>651</v>
      </c>
      <c r="F60" s="70" t="s">
        <v>607</v>
      </c>
    </row>
    <row r="61" spans="1:6" ht="26.1" customHeight="1">
      <c r="A61" s="70" t="s">
        <v>2511</v>
      </c>
      <c r="B61" s="76" t="s">
        <v>603</v>
      </c>
      <c r="C61" s="72" t="s">
        <v>2512</v>
      </c>
      <c r="D61" s="73" t="s">
        <v>605</v>
      </c>
      <c r="E61" s="70" t="s">
        <v>610</v>
      </c>
      <c r="F61" s="70" t="s">
        <v>607</v>
      </c>
    </row>
    <row r="62" spans="1:6" ht="26.1" customHeight="1">
      <c r="A62" s="70" t="s">
        <v>2513</v>
      </c>
      <c r="B62" s="75" t="s">
        <v>619</v>
      </c>
      <c r="C62" s="72" t="s">
        <v>2342</v>
      </c>
      <c r="D62" s="73" t="s">
        <v>605</v>
      </c>
      <c r="E62" s="70" t="s">
        <v>620</v>
      </c>
      <c r="F62" s="70" t="s">
        <v>691</v>
      </c>
    </row>
    <row r="63" spans="1:6" ht="26.1" customHeight="1">
      <c r="A63" s="70" t="s">
        <v>2514</v>
      </c>
      <c r="B63" s="77" t="s">
        <v>615</v>
      </c>
      <c r="C63" s="72" t="s">
        <v>2515</v>
      </c>
      <c r="D63" s="73" t="s">
        <v>605</v>
      </c>
      <c r="E63" s="70" t="s">
        <v>630</v>
      </c>
      <c r="F63" s="70" t="s">
        <v>2026</v>
      </c>
    </row>
    <row r="64" spans="1:6" ht="26.1" customHeight="1">
      <c r="A64" s="70" t="s">
        <v>2516</v>
      </c>
      <c r="B64" s="76" t="s">
        <v>603</v>
      </c>
      <c r="C64" s="72" t="s">
        <v>2517</v>
      </c>
      <c r="D64" s="73" t="s">
        <v>605</v>
      </c>
      <c r="E64" s="70" t="s">
        <v>2152</v>
      </c>
      <c r="F64" s="70" t="s">
        <v>2412</v>
      </c>
    </row>
    <row r="65" spans="1:6" ht="26.1" customHeight="1">
      <c r="A65" s="70" t="s">
        <v>2518</v>
      </c>
      <c r="B65" s="75" t="s">
        <v>619</v>
      </c>
      <c r="C65" s="72" t="s">
        <v>930</v>
      </c>
      <c r="D65" s="73" t="s">
        <v>605</v>
      </c>
      <c r="E65" s="70" t="s">
        <v>620</v>
      </c>
      <c r="F65" s="70" t="s">
        <v>607</v>
      </c>
    </row>
    <row r="66" spans="1:6" ht="26.1" customHeight="1">
      <c r="A66" s="70" t="s">
        <v>2519</v>
      </c>
      <c r="B66" s="75" t="s">
        <v>619</v>
      </c>
      <c r="C66" s="72" t="s">
        <v>650</v>
      </c>
      <c r="D66" s="73" t="s">
        <v>605</v>
      </c>
      <c r="E66" s="70" t="s">
        <v>651</v>
      </c>
      <c r="F66" s="70" t="s">
        <v>607</v>
      </c>
    </row>
    <row r="67" spans="1:6" ht="26.1" customHeight="1">
      <c r="A67" s="70" t="s">
        <v>2520</v>
      </c>
      <c r="B67" s="76" t="s">
        <v>603</v>
      </c>
      <c r="C67" s="72" t="s">
        <v>63</v>
      </c>
      <c r="D67" s="73" t="s">
        <v>605</v>
      </c>
      <c r="E67" s="70" t="s">
        <v>876</v>
      </c>
      <c r="F67" s="70" t="s">
        <v>607</v>
      </c>
    </row>
    <row r="68" spans="1:6" ht="26.1" customHeight="1">
      <c r="A68" s="70" t="s">
        <v>2521</v>
      </c>
      <c r="B68" s="76" t="s">
        <v>603</v>
      </c>
      <c r="C68" s="72" t="s">
        <v>2522</v>
      </c>
      <c r="D68" s="73" t="s">
        <v>605</v>
      </c>
      <c r="E68" s="70" t="s">
        <v>610</v>
      </c>
      <c r="F68" s="70" t="s">
        <v>607</v>
      </c>
    </row>
    <row r="69" spans="1:6" ht="26.1" customHeight="1">
      <c r="A69" s="70" t="s">
        <v>56</v>
      </c>
      <c r="B69" s="76" t="s">
        <v>603</v>
      </c>
      <c r="C69" s="72" t="s">
        <v>2523</v>
      </c>
      <c r="D69" s="73" t="s">
        <v>605</v>
      </c>
      <c r="E69" s="70" t="s">
        <v>606</v>
      </c>
      <c r="F69" s="70" t="s">
        <v>691</v>
      </c>
    </row>
    <row r="70" spans="1:6" ht="26.1" customHeight="1">
      <c r="A70" s="70" t="s">
        <v>2524</v>
      </c>
      <c r="B70" s="76" t="s">
        <v>603</v>
      </c>
      <c r="C70" s="72" t="s">
        <v>1351</v>
      </c>
      <c r="D70" s="73" t="s">
        <v>605</v>
      </c>
      <c r="E70" s="70" t="s">
        <v>610</v>
      </c>
      <c r="F70" s="70" t="s">
        <v>607</v>
      </c>
    </row>
    <row r="71" spans="1:6" ht="26.1" customHeight="1">
      <c r="A71" s="70" t="s">
        <v>155</v>
      </c>
      <c r="B71" s="76" t="s">
        <v>603</v>
      </c>
      <c r="C71" s="72" t="s">
        <v>2525</v>
      </c>
      <c r="D71" s="73" t="s">
        <v>605</v>
      </c>
      <c r="E71" s="70" t="s">
        <v>610</v>
      </c>
      <c r="F71" s="70" t="s">
        <v>1627</v>
      </c>
    </row>
    <row r="72" spans="1:6" ht="26.1" customHeight="1">
      <c r="A72" s="70" t="s">
        <v>2526</v>
      </c>
      <c r="B72" s="75" t="s">
        <v>619</v>
      </c>
      <c r="C72" s="72" t="s">
        <v>650</v>
      </c>
      <c r="D72" s="73" t="s">
        <v>605</v>
      </c>
      <c r="E72" s="70" t="s">
        <v>651</v>
      </c>
      <c r="F72" s="70" t="s">
        <v>607</v>
      </c>
    </row>
    <row r="73" spans="1:6" ht="26.1" customHeight="1">
      <c r="A73" s="70" t="s">
        <v>2527</v>
      </c>
      <c r="B73" s="75" t="s">
        <v>619</v>
      </c>
      <c r="C73" s="72" t="s">
        <v>2528</v>
      </c>
      <c r="D73" s="73" t="s">
        <v>605</v>
      </c>
      <c r="E73" s="70" t="s">
        <v>620</v>
      </c>
      <c r="F73" s="70" t="s">
        <v>691</v>
      </c>
    </row>
    <row r="74" spans="1:6" ht="26.1" customHeight="1">
      <c r="A74" s="70" t="s">
        <v>2529</v>
      </c>
      <c r="B74" s="75" t="s">
        <v>619</v>
      </c>
      <c r="C74" s="72" t="s">
        <v>650</v>
      </c>
      <c r="D74" s="73" t="s">
        <v>605</v>
      </c>
      <c r="E74" s="70" t="s">
        <v>651</v>
      </c>
      <c r="F74" s="70" t="s">
        <v>607</v>
      </c>
    </row>
    <row r="75" spans="1:6" ht="26.1" customHeight="1">
      <c r="A75" s="70" t="s">
        <v>2530</v>
      </c>
      <c r="B75" s="76" t="s">
        <v>603</v>
      </c>
      <c r="C75" s="72" t="s">
        <v>2531</v>
      </c>
      <c r="D75" s="73" t="s">
        <v>605</v>
      </c>
      <c r="E75" s="70" t="s">
        <v>606</v>
      </c>
      <c r="F75" s="70" t="s">
        <v>691</v>
      </c>
    </row>
    <row r="76" spans="1:6" ht="26.1" customHeight="1">
      <c r="A76" s="70" t="s">
        <v>2532</v>
      </c>
      <c r="B76" s="75" t="s">
        <v>619</v>
      </c>
      <c r="C76" s="72" t="s">
        <v>650</v>
      </c>
      <c r="D76" s="73" t="s">
        <v>605</v>
      </c>
      <c r="E76" s="70" t="s">
        <v>651</v>
      </c>
      <c r="F76" s="70" t="s">
        <v>607</v>
      </c>
    </row>
    <row r="77" spans="1:6" ht="26.1" customHeight="1">
      <c r="A77" s="70" t="s">
        <v>2533</v>
      </c>
      <c r="B77" s="76" t="s">
        <v>603</v>
      </c>
      <c r="C77" s="72" t="s">
        <v>2534</v>
      </c>
      <c r="D77" s="73" t="s">
        <v>605</v>
      </c>
      <c r="E77" s="70" t="s">
        <v>610</v>
      </c>
      <c r="F77" s="70" t="s">
        <v>691</v>
      </c>
    </row>
    <row r="78" spans="1:6" ht="26.1" customHeight="1">
      <c r="A78" s="70" t="s">
        <v>2535</v>
      </c>
      <c r="B78" s="76" t="s">
        <v>603</v>
      </c>
      <c r="C78" s="72" t="s">
        <v>2536</v>
      </c>
      <c r="D78" s="73" t="s">
        <v>605</v>
      </c>
      <c r="E78" s="70" t="s">
        <v>2537</v>
      </c>
      <c r="F78" s="70" t="s">
        <v>1627</v>
      </c>
    </row>
    <row r="79" spans="1:6" ht="26.1" customHeight="1">
      <c r="A79" s="70" t="s">
        <v>2538</v>
      </c>
      <c r="B79" s="75" t="s">
        <v>619</v>
      </c>
      <c r="C79" s="72" t="s">
        <v>650</v>
      </c>
      <c r="D79" s="73" t="s">
        <v>605</v>
      </c>
      <c r="E79" s="70" t="s">
        <v>651</v>
      </c>
      <c r="F79" s="70" t="s">
        <v>607</v>
      </c>
    </row>
    <row r="80" spans="1:6" ht="26.1" customHeight="1">
      <c r="A80" s="70" t="s">
        <v>2539</v>
      </c>
      <c r="B80" s="75" t="s">
        <v>619</v>
      </c>
      <c r="C80" s="72" t="s">
        <v>2540</v>
      </c>
      <c r="D80" s="73" t="s">
        <v>605</v>
      </c>
      <c r="E80" s="70" t="s">
        <v>620</v>
      </c>
      <c r="F80" s="70" t="s">
        <v>1627</v>
      </c>
    </row>
    <row r="81" spans="1:6" ht="26.1" customHeight="1">
      <c r="A81" s="70" t="s">
        <v>2541</v>
      </c>
      <c r="B81" s="75" t="s">
        <v>619</v>
      </c>
      <c r="C81" s="72" t="s">
        <v>650</v>
      </c>
      <c r="D81" s="73" t="s">
        <v>605</v>
      </c>
      <c r="E81" s="70" t="s">
        <v>651</v>
      </c>
      <c r="F81" s="70" t="s">
        <v>607</v>
      </c>
    </row>
    <row r="82" spans="1:6" ht="26.1" customHeight="1">
      <c r="A82" s="70" t="s">
        <v>2542</v>
      </c>
      <c r="B82" s="76" t="s">
        <v>603</v>
      </c>
      <c r="C82" s="70" t="s">
        <v>400</v>
      </c>
      <c r="D82" s="71" t="s">
        <v>605</v>
      </c>
      <c r="E82" s="70" t="s">
        <v>606</v>
      </c>
      <c r="F82" s="70" t="s">
        <v>607</v>
      </c>
    </row>
    <row r="83" spans="1:6" ht="26.1" customHeight="1">
      <c r="A83" s="70" t="s">
        <v>2543</v>
      </c>
      <c r="B83" s="76" t="s">
        <v>603</v>
      </c>
      <c r="C83" s="70" t="s">
        <v>2544</v>
      </c>
      <c r="D83" s="71" t="s">
        <v>605</v>
      </c>
      <c r="E83" s="70" t="s">
        <v>610</v>
      </c>
      <c r="F83" s="70" t="s">
        <v>691</v>
      </c>
    </row>
    <row r="84" spans="1:6" ht="26.1" customHeight="1">
      <c r="A84" s="70" t="s">
        <v>2545</v>
      </c>
      <c r="B84" s="76" t="s">
        <v>603</v>
      </c>
      <c r="C84" s="70" t="s">
        <v>2546</v>
      </c>
      <c r="D84" s="71" t="s">
        <v>605</v>
      </c>
      <c r="E84" s="70" t="s">
        <v>2547</v>
      </c>
      <c r="F84" s="70" t="s">
        <v>691</v>
      </c>
    </row>
    <row r="85" spans="1:6" ht="26.1" customHeight="1">
      <c r="A85" s="70" t="s">
        <v>2548</v>
      </c>
      <c r="B85" s="76" t="s">
        <v>603</v>
      </c>
      <c r="C85" s="70" t="s">
        <v>2549</v>
      </c>
      <c r="D85" s="71" t="s">
        <v>605</v>
      </c>
      <c r="E85" s="70" t="s">
        <v>606</v>
      </c>
      <c r="F85" s="70" t="s">
        <v>2550</v>
      </c>
    </row>
    <row r="86" spans="1:6" ht="26.1" customHeight="1">
      <c r="A86" s="70" t="s">
        <v>2551</v>
      </c>
      <c r="B86" s="76" t="s">
        <v>603</v>
      </c>
      <c r="C86" s="70" t="s">
        <v>2552</v>
      </c>
      <c r="D86" s="71" t="s">
        <v>605</v>
      </c>
      <c r="E86" s="70" t="s">
        <v>804</v>
      </c>
      <c r="F86" s="70" t="s">
        <v>2553</v>
      </c>
    </row>
    <row r="87" spans="1:6" ht="26.1" customHeight="1">
      <c r="A87" s="70" t="s">
        <v>2554</v>
      </c>
      <c r="B87" s="75" t="s">
        <v>619</v>
      </c>
      <c r="C87" s="74" t="s">
        <v>888</v>
      </c>
      <c r="D87" s="71" t="s">
        <v>605</v>
      </c>
      <c r="E87" s="70" t="s">
        <v>620</v>
      </c>
      <c r="F87" s="70" t="s">
        <v>607</v>
      </c>
    </row>
    <row r="88" spans="1:6" ht="26.1" customHeight="1">
      <c r="A88" s="70" t="s">
        <v>156</v>
      </c>
      <c r="B88" s="76" t="s">
        <v>603</v>
      </c>
      <c r="C88" s="70" t="s">
        <v>2555</v>
      </c>
      <c r="D88" s="71" t="s">
        <v>605</v>
      </c>
      <c r="E88" s="70" t="s">
        <v>610</v>
      </c>
      <c r="F88" s="70" t="s">
        <v>1627</v>
      </c>
    </row>
    <row r="89" spans="1:6" ht="26.1" customHeight="1">
      <c r="A89" s="70" t="s">
        <v>2556</v>
      </c>
      <c r="B89" s="76" t="s">
        <v>603</v>
      </c>
      <c r="C89" s="74" t="s">
        <v>2557</v>
      </c>
      <c r="D89" s="71" t="s">
        <v>605</v>
      </c>
      <c r="E89" s="70" t="s">
        <v>606</v>
      </c>
      <c r="F89" s="70" t="s">
        <v>870</v>
      </c>
    </row>
    <row r="90" spans="1:6" ht="26.1" customHeight="1">
      <c r="A90" s="70" t="s">
        <v>2558</v>
      </c>
      <c r="B90" s="76" t="s">
        <v>603</v>
      </c>
      <c r="C90" s="74" t="s">
        <v>650</v>
      </c>
      <c r="D90" s="71" t="s">
        <v>605</v>
      </c>
      <c r="E90" s="70" t="s">
        <v>688</v>
      </c>
      <c r="F90" s="70" t="s">
        <v>607</v>
      </c>
    </row>
    <row r="91" spans="1:6" ht="26.1" customHeight="1">
      <c r="A91" s="70" t="s">
        <v>2559</v>
      </c>
      <c r="B91" s="75" t="s">
        <v>619</v>
      </c>
      <c r="C91" s="74" t="s">
        <v>650</v>
      </c>
      <c r="D91" s="71" t="s">
        <v>605</v>
      </c>
      <c r="E91" s="70" t="s">
        <v>651</v>
      </c>
      <c r="F91" s="70" t="s">
        <v>607</v>
      </c>
    </row>
    <row r="92" spans="1:6" ht="26.1" customHeight="1">
      <c r="A92" s="70" t="s">
        <v>268</v>
      </c>
      <c r="B92" s="76" t="s">
        <v>603</v>
      </c>
      <c r="C92" s="70" t="s">
        <v>2560</v>
      </c>
      <c r="D92" s="71" t="s">
        <v>605</v>
      </c>
      <c r="E92" s="70" t="s">
        <v>2332</v>
      </c>
      <c r="F92" s="70" t="s">
        <v>2561</v>
      </c>
    </row>
    <row r="93" spans="1:6" ht="26.1" customHeight="1">
      <c r="A93" s="70" t="s">
        <v>2562</v>
      </c>
      <c r="B93" s="75" t="s">
        <v>619</v>
      </c>
      <c r="C93" s="70" t="s">
        <v>626</v>
      </c>
      <c r="D93" s="71" t="s">
        <v>605</v>
      </c>
      <c r="E93" s="70" t="s">
        <v>620</v>
      </c>
      <c r="F93" s="70" t="s">
        <v>691</v>
      </c>
    </row>
    <row r="94" spans="1:6" ht="26.1" customHeight="1">
      <c r="A94" s="70" t="s">
        <v>2563</v>
      </c>
      <c r="B94" s="75" t="s">
        <v>619</v>
      </c>
      <c r="C94" s="70" t="s">
        <v>650</v>
      </c>
      <c r="D94" s="71" t="s">
        <v>605</v>
      </c>
      <c r="E94" s="70" t="s">
        <v>651</v>
      </c>
      <c r="F94" s="70" t="s">
        <v>607</v>
      </c>
    </row>
    <row r="95" spans="1:6" ht="26.1" customHeight="1">
      <c r="A95" s="70" t="s">
        <v>2564</v>
      </c>
      <c r="B95" s="76" t="s">
        <v>603</v>
      </c>
      <c r="C95" s="74" t="s">
        <v>2565</v>
      </c>
      <c r="D95" s="71" t="s">
        <v>605</v>
      </c>
      <c r="E95" s="70" t="s">
        <v>610</v>
      </c>
      <c r="F95" s="70" t="s">
        <v>607</v>
      </c>
    </row>
    <row r="96" spans="1:6" ht="26.1" customHeight="1">
      <c r="A96" s="70" t="s">
        <v>2566</v>
      </c>
      <c r="B96" s="76" t="s">
        <v>603</v>
      </c>
      <c r="C96" s="74" t="s">
        <v>2243</v>
      </c>
      <c r="D96" s="71" t="s">
        <v>605</v>
      </c>
      <c r="E96" s="70" t="s">
        <v>610</v>
      </c>
      <c r="F96" s="70" t="s">
        <v>2567</v>
      </c>
    </row>
    <row r="97" spans="1:6" ht="26.1" customHeight="1">
      <c r="A97" s="70" t="s">
        <v>53</v>
      </c>
      <c r="B97" s="76" t="s">
        <v>603</v>
      </c>
      <c r="C97" s="70" t="s">
        <v>2568</v>
      </c>
      <c r="D97" s="71" t="s">
        <v>605</v>
      </c>
      <c r="E97" s="70" t="s">
        <v>606</v>
      </c>
      <c r="F97" s="70" t="s">
        <v>691</v>
      </c>
    </row>
    <row r="98" spans="1:6" ht="26.1" customHeight="1">
      <c r="A98" s="70" t="s">
        <v>81</v>
      </c>
      <c r="B98" s="76" t="s">
        <v>603</v>
      </c>
      <c r="C98" s="70" t="s">
        <v>2569</v>
      </c>
      <c r="D98" s="71" t="s">
        <v>605</v>
      </c>
      <c r="E98" s="70" t="s">
        <v>606</v>
      </c>
      <c r="F98" s="70" t="s">
        <v>870</v>
      </c>
    </row>
    <row r="99" spans="1:6" ht="26.1" customHeight="1">
      <c r="A99" s="70" t="s">
        <v>2570</v>
      </c>
      <c r="B99" s="76" t="s">
        <v>603</v>
      </c>
      <c r="C99" s="70" t="s">
        <v>629</v>
      </c>
      <c r="D99" s="71" t="s">
        <v>605</v>
      </c>
      <c r="E99" s="70" t="s">
        <v>606</v>
      </c>
      <c r="F99" s="70" t="s">
        <v>607</v>
      </c>
    </row>
    <row r="100" spans="1:6" ht="15">
      <c r="C100" s="53"/>
      <c r="D100" s="54"/>
    </row>
    <row r="101" spans="1:6" ht="15">
      <c r="C101" s="78" t="s">
        <v>633</v>
      </c>
      <c r="D101" s="79" t="str">
        <f>COUNTIF(D2:D99,"☑")&amp;" / "&amp;COUNTA(A2:A99)</f>
        <v>0 / 98</v>
      </c>
    </row>
  </sheetData>
  <conditionalFormatting sqref="B2:B53">
    <cfRule type="expression" dxfId="64" priority="1">
      <formula>B2="A"</formula>
    </cfRule>
    <cfRule type="expression" dxfId="63" priority="2">
      <formula>B2="B"</formula>
    </cfRule>
    <cfRule type="expression" dxfId="62" priority="3">
      <formula>B2="C"</formula>
    </cfRule>
  </conditionalFormatting>
  <conditionalFormatting sqref="D2:D99">
    <cfRule type="expression" dxfId="61" priority="4">
      <formula>D2="☑"</formula>
    </cfRule>
  </conditionalFormatting>
  <dataValidations count="1">
    <dataValidation type="list" sqref="D2:D99" xr:uid="{00000000-0002-0000-1A00-000000000000}">
      <formula1>"☐,☑"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87"/>
  <sheetViews>
    <sheetView workbookViewId="0"/>
  </sheetViews>
  <sheetFormatPr defaultRowHeight="14.25"/>
  <cols>
    <col min="1" max="1" width="34" customWidth="1"/>
    <col min="2" max="2" width="10" customWidth="1"/>
    <col min="3" max="3" width="44" customWidth="1"/>
    <col min="4" max="4" width="12" customWidth="1"/>
    <col min="5" max="5" width="42" customWidth="1"/>
    <col min="6" max="6" width="58" customWidth="1"/>
  </cols>
  <sheetData>
    <row r="1" spans="1:6" ht="21.95" customHeight="1">
      <c r="A1" s="57" t="s">
        <v>598</v>
      </c>
      <c r="B1" s="57" t="s">
        <v>599</v>
      </c>
      <c r="C1" s="57" t="s">
        <v>13</v>
      </c>
      <c r="D1" s="57" t="s">
        <v>3</v>
      </c>
      <c r="E1" s="57" t="s">
        <v>600</v>
      </c>
      <c r="F1" s="57" t="s">
        <v>601</v>
      </c>
    </row>
    <row r="2" spans="1:6" ht="26.1" customHeight="1">
      <c r="A2" s="58" t="s">
        <v>2571</v>
      </c>
      <c r="B2" s="61" t="s">
        <v>619</v>
      </c>
      <c r="C2" s="58" t="s">
        <v>650</v>
      </c>
      <c r="D2" s="59" t="s">
        <v>605</v>
      </c>
      <c r="E2" s="58" t="s">
        <v>651</v>
      </c>
      <c r="F2" s="58" t="s">
        <v>607</v>
      </c>
    </row>
    <row r="3" spans="1:6" ht="26.1" customHeight="1">
      <c r="A3" s="58" t="s">
        <v>2572</v>
      </c>
      <c r="B3" s="60" t="s">
        <v>603</v>
      </c>
      <c r="C3" s="58" t="s">
        <v>2573</v>
      </c>
      <c r="D3" s="59" t="s">
        <v>605</v>
      </c>
      <c r="E3" s="58" t="s">
        <v>2574</v>
      </c>
      <c r="F3" s="58" t="s">
        <v>2575</v>
      </c>
    </row>
    <row r="4" spans="1:6" ht="26.1" customHeight="1">
      <c r="A4" s="58" t="s">
        <v>2576</v>
      </c>
      <c r="B4" s="61" t="s">
        <v>619</v>
      </c>
      <c r="C4" s="58" t="s">
        <v>650</v>
      </c>
      <c r="D4" s="59" t="s">
        <v>605</v>
      </c>
      <c r="E4" s="58" t="s">
        <v>651</v>
      </c>
      <c r="F4" s="58" t="s">
        <v>607</v>
      </c>
    </row>
    <row r="5" spans="1:6" ht="26.1" customHeight="1">
      <c r="A5" s="58" t="s">
        <v>2577</v>
      </c>
      <c r="B5" s="60" t="s">
        <v>603</v>
      </c>
      <c r="C5" s="58" t="s">
        <v>2578</v>
      </c>
      <c r="D5" s="59" t="s">
        <v>605</v>
      </c>
      <c r="E5" s="58" t="s">
        <v>606</v>
      </c>
      <c r="F5" s="58" t="s">
        <v>691</v>
      </c>
    </row>
    <row r="6" spans="1:6" ht="26.1" customHeight="1">
      <c r="A6" s="58" t="s">
        <v>2579</v>
      </c>
      <c r="B6" s="61" t="s">
        <v>619</v>
      </c>
      <c r="C6" s="58" t="s">
        <v>650</v>
      </c>
      <c r="D6" s="59" t="s">
        <v>605</v>
      </c>
      <c r="E6" s="58" t="s">
        <v>651</v>
      </c>
      <c r="F6" s="58" t="s">
        <v>607</v>
      </c>
    </row>
    <row r="7" spans="1:6" ht="26.1" customHeight="1">
      <c r="A7" s="58" t="s">
        <v>2580</v>
      </c>
      <c r="B7" s="60" t="s">
        <v>603</v>
      </c>
      <c r="C7" s="58" t="s">
        <v>2581</v>
      </c>
      <c r="D7" s="59" t="s">
        <v>605</v>
      </c>
      <c r="E7" s="58" t="s">
        <v>683</v>
      </c>
      <c r="F7" s="58" t="s">
        <v>870</v>
      </c>
    </row>
    <row r="8" spans="1:6" ht="26.1" customHeight="1">
      <c r="A8" s="58" t="s">
        <v>2582</v>
      </c>
      <c r="B8" s="61" t="s">
        <v>619</v>
      </c>
      <c r="C8" s="58" t="s">
        <v>2583</v>
      </c>
      <c r="D8" s="59" t="s">
        <v>605</v>
      </c>
      <c r="E8" s="58" t="s">
        <v>620</v>
      </c>
      <c r="F8" s="58" t="s">
        <v>691</v>
      </c>
    </row>
    <row r="9" spans="1:6" ht="26.1" customHeight="1">
      <c r="A9" s="58" t="s">
        <v>2584</v>
      </c>
      <c r="B9" s="61" t="s">
        <v>619</v>
      </c>
      <c r="C9" s="58" t="s">
        <v>650</v>
      </c>
      <c r="D9" s="59" t="s">
        <v>605</v>
      </c>
      <c r="E9" s="58" t="s">
        <v>651</v>
      </c>
      <c r="F9" s="58" t="s">
        <v>607</v>
      </c>
    </row>
    <row r="10" spans="1:6" ht="26.1" customHeight="1">
      <c r="A10" s="58" t="s">
        <v>2585</v>
      </c>
      <c r="B10" s="60" t="s">
        <v>603</v>
      </c>
      <c r="C10" s="58" t="s">
        <v>2586</v>
      </c>
      <c r="D10" s="59" t="s">
        <v>605</v>
      </c>
      <c r="E10" s="58" t="s">
        <v>610</v>
      </c>
      <c r="F10" s="58" t="s">
        <v>607</v>
      </c>
    </row>
    <row r="11" spans="1:6" ht="26.1" customHeight="1">
      <c r="A11" s="58" t="s">
        <v>2587</v>
      </c>
      <c r="B11" s="61" t="s">
        <v>619</v>
      </c>
      <c r="C11" s="58" t="s">
        <v>2588</v>
      </c>
      <c r="D11" s="59" t="s">
        <v>605</v>
      </c>
      <c r="E11" s="58" t="s">
        <v>804</v>
      </c>
      <c r="F11" s="58" t="s">
        <v>2589</v>
      </c>
    </row>
    <row r="12" spans="1:6" ht="26.1" customHeight="1">
      <c r="A12" s="58" t="s">
        <v>2590</v>
      </c>
      <c r="B12" s="61" t="s">
        <v>619</v>
      </c>
      <c r="C12" s="58" t="s">
        <v>888</v>
      </c>
      <c r="D12" s="59" t="s">
        <v>605</v>
      </c>
      <c r="E12" s="58" t="s">
        <v>620</v>
      </c>
      <c r="F12" s="58" t="s">
        <v>607</v>
      </c>
    </row>
    <row r="13" spans="1:6" ht="26.1" customHeight="1">
      <c r="A13" s="58" t="s">
        <v>2591</v>
      </c>
      <c r="B13" s="62" t="s">
        <v>615</v>
      </c>
      <c r="C13" s="58" t="s">
        <v>793</v>
      </c>
      <c r="D13" s="59" t="s">
        <v>605</v>
      </c>
      <c r="E13" s="58" t="s">
        <v>617</v>
      </c>
      <c r="F13" s="58" t="s">
        <v>607</v>
      </c>
    </row>
    <row r="14" spans="1:6" ht="26.1" customHeight="1">
      <c r="A14" s="58" t="s">
        <v>2592</v>
      </c>
      <c r="B14" s="60" t="s">
        <v>603</v>
      </c>
      <c r="C14" s="58" t="s">
        <v>2593</v>
      </c>
      <c r="D14" s="59" t="s">
        <v>605</v>
      </c>
      <c r="E14" s="58" t="s">
        <v>648</v>
      </c>
      <c r="F14" s="58" t="s">
        <v>2594</v>
      </c>
    </row>
    <row r="15" spans="1:6" ht="26.1" customHeight="1">
      <c r="A15" s="58" t="s">
        <v>2595</v>
      </c>
      <c r="B15" s="60" t="s">
        <v>603</v>
      </c>
      <c r="C15" s="58" t="s">
        <v>650</v>
      </c>
      <c r="D15" s="59" t="s">
        <v>605</v>
      </c>
      <c r="E15" s="58" t="s">
        <v>688</v>
      </c>
      <c r="F15" s="58" t="s">
        <v>607</v>
      </c>
    </row>
    <row r="16" spans="1:6" ht="26.1" customHeight="1">
      <c r="A16" s="58" t="s">
        <v>2596</v>
      </c>
      <c r="B16" s="61" t="s">
        <v>619</v>
      </c>
      <c r="C16" s="58" t="s">
        <v>650</v>
      </c>
      <c r="D16" s="59" t="s">
        <v>605</v>
      </c>
      <c r="E16" s="58" t="s">
        <v>651</v>
      </c>
      <c r="F16" s="58" t="s">
        <v>607</v>
      </c>
    </row>
    <row r="17" spans="1:6" ht="26.1" customHeight="1">
      <c r="A17" s="58" t="s">
        <v>199</v>
      </c>
      <c r="B17" s="60" t="s">
        <v>603</v>
      </c>
      <c r="C17" s="58" t="s">
        <v>626</v>
      </c>
      <c r="D17" s="59" t="s">
        <v>605</v>
      </c>
      <c r="E17" s="58" t="s">
        <v>911</v>
      </c>
      <c r="F17" s="58" t="s">
        <v>2597</v>
      </c>
    </row>
    <row r="18" spans="1:6" ht="26.1" customHeight="1">
      <c r="A18" s="58" t="s">
        <v>2598</v>
      </c>
      <c r="B18" s="61" t="s">
        <v>619</v>
      </c>
      <c r="C18" s="58" t="s">
        <v>650</v>
      </c>
      <c r="D18" s="59" t="s">
        <v>605</v>
      </c>
      <c r="E18" s="58" t="s">
        <v>651</v>
      </c>
      <c r="F18" s="58" t="s">
        <v>607</v>
      </c>
    </row>
    <row r="19" spans="1:6" ht="26.1" customHeight="1">
      <c r="A19" s="58" t="s">
        <v>2599</v>
      </c>
      <c r="B19" s="60" t="s">
        <v>603</v>
      </c>
      <c r="C19" s="58" t="s">
        <v>2600</v>
      </c>
      <c r="D19" s="59" t="s">
        <v>605</v>
      </c>
      <c r="E19" s="58" t="s">
        <v>610</v>
      </c>
      <c r="F19" s="58" t="s">
        <v>1021</v>
      </c>
    </row>
    <row r="20" spans="1:6" ht="26.1" customHeight="1">
      <c r="A20" s="58" t="s">
        <v>2601</v>
      </c>
      <c r="B20" s="60" t="s">
        <v>603</v>
      </c>
      <c r="C20" s="58" t="s">
        <v>2602</v>
      </c>
      <c r="D20" s="59" t="s">
        <v>605</v>
      </c>
      <c r="E20" s="58" t="s">
        <v>606</v>
      </c>
      <c r="F20" s="58" t="s">
        <v>870</v>
      </c>
    </row>
    <row r="21" spans="1:6" ht="26.1" customHeight="1">
      <c r="A21" s="58" t="s">
        <v>2603</v>
      </c>
      <c r="B21" s="60" t="s">
        <v>603</v>
      </c>
      <c r="C21" s="58" t="s">
        <v>888</v>
      </c>
      <c r="D21" s="59" t="s">
        <v>605</v>
      </c>
      <c r="E21" s="58" t="s">
        <v>606</v>
      </c>
      <c r="F21" s="58" t="s">
        <v>607</v>
      </c>
    </row>
    <row r="22" spans="1:6" ht="26.1" customHeight="1">
      <c r="A22" s="58" t="s">
        <v>2604</v>
      </c>
      <c r="B22" s="60" t="s">
        <v>603</v>
      </c>
      <c r="C22" s="58" t="s">
        <v>2605</v>
      </c>
      <c r="D22" s="59" t="s">
        <v>605</v>
      </c>
      <c r="E22" s="58" t="s">
        <v>610</v>
      </c>
      <c r="F22" s="58" t="s">
        <v>2606</v>
      </c>
    </row>
    <row r="23" spans="1:6" ht="26.1" customHeight="1">
      <c r="A23" s="58" t="s">
        <v>2607</v>
      </c>
      <c r="B23" s="61" t="s">
        <v>619</v>
      </c>
      <c r="C23" s="58" t="s">
        <v>888</v>
      </c>
      <c r="D23" s="59" t="s">
        <v>605</v>
      </c>
      <c r="E23" s="58" t="s">
        <v>620</v>
      </c>
      <c r="F23" s="58" t="s">
        <v>607</v>
      </c>
    </row>
    <row r="24" spans="1:6" ht="26.1" customHeight="1">
      <c r="A24" s="58" t="s">
        <v>2608</v>
      </c>
      <c r="B24" s="60" t="s">
        <v>603</v>
      </c>
      <c r="C24" s="58" t="s">
        <v>2609</v>
      </c>
      <c r="D24" s="59" t="s">
        <v>605</v>
      </c>
      <c r="E24" s="58" t="s">
        <v>610</v>
      </c>
      <c r="F24" s="58" t="s">
        <v>1431</v>
      </c>
    </row>
    <row r="25" spans="1:6" ht="26.1" customHeight="1">
      <c r="A25" s="58" t="s">
        <v>2610</v>
      </c>
      <c r="B25" s="60" t="s">
        <v>603</v>
      </c>
      <c r="C25" s="58" t="s">
        <v>2611</v>
      </c>
      <c r="D25" s="59" t="s">
        <v>605</v>
      </c>
      <c r="E25" s="58" t="s">
        <v>610</v>
      </c>
      <c r="F25" s="58" t="s">
        <v>691</v>
      </c>
    </row>
    <row r="26" spans="1:6" ht="26.1" customHeight="1">
      <c r="A26" s="58" t="s">
        <v>2612</v>
      </c>
      <c r="B26" s="60" t="s">
        <v>603</v>
      </c>
      <c r="C26" s="58" t="s">
        <v>2613</v>
      </c>
      <c r="D26" s="59" t="s">
        <v>605</v>
      </c>
      <c r="E26" s="58" t="s">
        <v>610</v>
      </c>
      <c r="F26" s="58" t="s">
        <v>691</v>
      </c>
    </row>
    <row r="27" spans="1:6" ht="26.1" customHeight="1">
      <c r="A27" s="58" t="s">
        <v>2614</v>
      </c>
      <c r="B27" s="60" t="s">
        <v>603</v>
      </c>
      <c r="C27" s="58" t="s">
        <v>2615</v>
      </c>
      <c r="D27" s="59" t="s">
        <v>605</v>
      </c>
      <c r="E27" s="58" t="s">
        <v>606</v>
      </c>
      <c r="F27" s="58" t="s">
        <v>607</v>
      </c>
    </row>
    <row r="28" spans="1:6" ht="26.1" customHeight="1">
      <c r="A28" s="58" t="s">
        <v>2616</v>
      </c>
      <c r="B28" s="61" t="s">
        <v>619</v>
      </c>
      <c r="C28" s="58" t="s">
        <v>650</v>
      </c>
      <c r="D28" s="59" t="s">
        <v>605</v>
      </c>
      <c r="E28" s="58" t="s">
        <v>651</v>
      </c>
      <c r="F28" s="58" t="s">
        <v>607</v>
      </c>
    </row>
    <row r="29" spans="1:6" ht="26.1" customHeight="1">
      <c r="A29" s="58" t="s">
        <v>2617</v>
      </c>
      <c r="B29" s="61" t="s">
        <v>619</v>
      </c>
      <c r="C29" s="58" t="s">
        <v>650</v>
      </c>
      <c r="D29" s="59" t="s">
        <v>605</v>
      </c>
      <c r="E29" s="58" t="s">
        <v>651</v>
      </c>
      <c r="F29" s="58" t="s">
        <v>607</v>
      </c>
    </row>
    <row r="30" spans="1:6" ht="26.1" customHeight="1">
      <c r="A30" s="58" t="s">
        <v>2618</v>
      </c>
      <c r="B30" s="61" t="s">
        <v>619</v>
      </c>
      <c r="C30" s="58" t="s">
        <v>650</v>
      </c>
      <c r="D30" s="59" t="s">
        <v>605</v>
      </c>
      <c r="E30" s="58" t="s">
        <v>651</v>
      </c>
      <c r="F30" s="58" t="s">
        <v>607</v>
      </c>
    </row>
    <row r="31" spans="1:6" ht="26.1" customHeight="1">
      <c r="A31" s="58" t="s">
        <v>2619</v>
      </c>
      <c r="B31" s="60" t="s">
        <v>603</v>
      </c>
      <c r="C31" s="58" t="s">
        <v>2620</v>
      </c>
      <c r="D31" s="59" t="s">
        <v>605</v>
      </c>
      <c r="E31" s="58" t="s">
        <v>606</v>
      </c>
      <c r="F31" s="58" t="s">
        <v>870</v>
      </c>
    </row>
    <row r="32" spans="1:6" ht="26.1" customHeight="1">
      <c r="A32" s="58" t="s">
        <v>2621</v>
      </c>
      <c r="B32" s="61" t="s">
        <v>619</v>
      </c>
      <c r="C32" s="58" t="s">
        <v>650</v>
      </c>
      <c r="D32" s="59" t="s">
        <v>605</v>
      </c>
      <c r="E32" s="58" t="s">
        <v>651</v>
      </c>
      <c r="F32" s="58" t="s">
        <v>607</v>
      </c>
    </row>
    <row r="33" spans="1:6" ht="26.1" customHeight="1">
      <c r="A33" s="58" t="s">
        <v>2622</v>
      </c>
      <c r="B33" s="60" t="s">
        <v>603</v>
      </c>
      <c r="C33" s="58" t="s">
        <v>2623</v>
      </c>
      <c r="D33" s="59" t="s">
        <v>605</v>
      </c>
      <c r="E33" s="58" t="s">
        <v>2624</v>
      </c>
      <c r="F33" s="58" t="s">
        <v>637</v>
      </c>
    </row>
    <row r="34" spans="1:6" ht="26.1" customHeight="1">
      <c r="A34" s="58" t="s">
        <v>2625</v>
      </c>
      <c r="B34" s="60" t="s">
        <v>603</v>
      </c>
      <c r="C34" s="58" t="s">
        <v>2626</v>
      </c>
      <c r="D34" s="59" t="s">
        <v>605</v>
      </c>
      <c r="E34" s="58" t="s">
        <v>2627</v>
      </c>
      <c r="F34" s="58" t="s">
        <v>607</v>
      </c>
    </row>
    <row r="35" spans="1:6" ht="26.1" customHeight="1">
      <c r="A35" s="58" t="s">
        <v>200</v>
      </c>
      <c r="B35" s="60" t="s">
        <v>603</v>
      </c>
      <c r="C35" s="58" t="s">
        <v>609</v>
      </c>
      <c r="D35" s="59" t="s">
        <v>605</v>
      </c>
      <c r="E35" s="58" t="s">
        <v>911</v>
      </c>
      <c r="F35" s="58" t="s">
        <v>2628</v>
      </c>
    </row>
    <row r="36" spans="1:6" ht="26.1" customHeight="1">
      <c r="A36" s="58" t="s">
        <v>2629</v>
      </c>
      <c r="B36" s="60" t="s">
        <v>603</v>
      </c>
      <c r="C36" s="58" t="s">
        <v>1666</v>
      </c>
      <c r="D36" s="59" t="s">
        <v>605</v>
      </c>
      <c r="E36" s="58" t="s">
        <v>610</v>
      </c>
      <c r="F36" s="58" t="s">
        <v>607</v>
      </c>
    </row>
    <row r="37" spans="1:6" ht="26.1" customHeight="1">
      <c r="A37" s="58" t="s">
        <v>2630</v>
      </c>
      <c r="B37" s="60" t="s">
        <v>603</v>
      </c>
      <c r="C37" s="58" t="s">
        <v>2631</v>
      </c>
      <c r="D37" s="59" t="s">
        <v>605</v>
      </c>
      <c r="E37" s="58" t="s">
        <v>606</v>
      </c>
      <c r="F37" s="58" t="s">
        <v>1434</v>
      </c>
    </row>
    <row r="38" spans="1:6" ht="26.1" customHeight="1">
      <c r="A38" s="58" t="s">
        <v>2632</v>
      </c>
      <c r="B38" s="60" t="s">
        <v>603</v>
      </c>
      <c r="C38" s="58" t="s">
        <v>2633</v>
      </c>
      <c r="D38" s="59" t="s">
        <v>605</v>
      </c>
      <c r="E38" s="58" t="s">
        <v>610</v>
      </c>
      <c r="F38" s="58" t="s">
        <v>1627</v>
      </c>
    </row>
    <row r="39" spans="1:6" ht="26.1" customHeight="1">
      <c r="A39" s="58" t="s">
        <v>2634</v>
      </c>
      <c r="B39" s="60" t="s">
        <v>603</v>
      </c>
      <c r="C39" s="58" t="s">
        <v>2635</v>
      </c>
      <c r="D39" s="59" t="s">
        <v>605</v>
      </c>
      <c r="E39" s="58" t="s">
        <v>606</v>
      </c>
      <c r="F39" s="58" t="s">
        <v>870</v>
      </c>
    </row>
    <row r="40" spans="1:6" ht="26.1" customHeight="1">
      <c r="A40" s="58" t="s">
        <v>2636</v>
      </c>
      <c r="B40" s="60" t="s">
        <v>603</v>
      </c>
      <c r="C40" s="58" t="s">
        <v>609</v>
      </c>
      <c r="D40" s="59" t="s">
        <v>605</v>
      </c>
      <c r="E40" s="58" t="s">
        <v>606</v>
      </c>
      <c r="F40" s="58" t="s">
        <v>691</v>
      </c>
    </row>
    <row r="41" spans="1:6" ht="26.1" customHeight="1">
      <c r="A41" s="58" t="s">
        <v>2637</v>
      </c>
      <c r="B41" s="61" t="s">
        <v>619</v>
      </c>
      <c r="C41" s="58" t="s">
        <v>650</v>
      </c>
      <c r="D41" s="59" t="s">
        <v>605</v>
      </c>
      <c r="E41" s="58" t="s">
        <v>651</v>
      </c>
      <c r="F41" s="58" t="s">
        <v>607</v>
      </c>
    </row>
    <row r="42" spans="1:6" ht="26.1" customHeight="1">
      <c r="A42" s="58" t="s">
        <v>2638</v>
      </c>
      <c r="B42" s="60" t="s">
        <v>603</v>
      </c>
      <c r="C42" s="58" t="s">
        <v>793</v>
      </c>
      <c r="D42" s="59" t="s">
        <v>605</v>
      </c>
      <c r="E42" s="58" t="s">
        <v>610</v>
      </c>
      <c r="F42" s="58" t="s">
        <v>607</v>
      </c>
    </row>
    <row r="43" spans="1:6" ht="26.1" customHeight="1">
      <c r="A43" s="58" t="s">
        <v>2639</v>
      </c>
      <c r="B43" s="60" t="s">
        <v>603</v>
      </c>
      <c r="C43" s="58" t="s">
        <v>650</v>
      </c>
      <c r="D43" s="59" t="s">
        <v>605</v>
      </c>
      <c r="E43" s="58" t="s">
        <v>688</v>
      </c>
      <c r="F43" s="58" t="s">
        <v>607</v>
      </c>
    </row>
    <row r="44" spans="1:6" ht="26.1" customHeight="1">
      <c r="A44" s="58" t="s">
        <v>2640</v>
      </c>
      <c r="B44" s="60" t="s">
        <v>603</v>
      </c>
      <c r="C44" s="58" t="s">
        <v>930</v>
      </c>
      <c r="D44" s="59" t="s">
        <v>605</v>
      </c>
      <c r="E44" s="58" t="s">
        <v>606</v>
      </c>
      <c r="F44" s="58" t="s">
        <v>607</v>
      </c>
    </row>
    <row r="45" spans="1:6" ht="26.1" customHeight="1">
      <c r="A45" s="58" t="s">
        <v>2641</v>
      </c>
      <c r="B45" s="61" t="s">
        <v>619</v>
      </c>
      <c r="C45" s="58" t="s">
        <v>2642</v>
      </c>
      <c r="D45" s="59" t="s">
        <v>605</v>
      </c>
      <c r="E45" s="58" t="s">
        <v>2643</v>
      </c>
      <c r="F45" s="58" t="s">
        <v>2644</v>
      </c>
    </row>
    <row r="46" spans="1:6" ht="26.1" customHeight="1">
      <c r="A46" s="58" t="s">
        <v>2645</v>
      </c>
      <c r="B46" s="60" t="s">
        <v>603</v>
      </c>
      <c r="C46" s="58" t="s">
        <v>1239</v>
      </c>
      <c r="D46" s="59" t="s">
        <v>605</v>
      </c>
      <c r="E46" s="58" t="s">
        <v>610</v>
      </c>
      <c r="F46" s="58" t="s">
        <v>607</v>
      </c>
    </row>
    <row r="47" spans="1:6" ht="26.1" customHeight="1">
      <c r="A47" s="58" t="s">
        <v>2646</v>
      </c>
      <c r="B47" s="60" t="s">
        <v>603</v>
      </c>
      <c r="C47" s="58" t="s">
        <v>2647</v>
      </c>
      <c r="D47" s="59" t="s">
        <v>605</v>
      </c>
      <c r="E47" s="58" t="s">
        <v>1602</v>
      </c>
      <c r="F47" s="58" t="s">
        <v>607</v>
      </c>
    </row>
    <row r="48" spans="1:6" ht="26.1" customHeight="1">
      <c r="A48" s="58" t="s">
        <v>2648</v>
      </c>
      <c r="B48" s="60" t="s">
        <v>603</v>
      </c>
      <c r="C48" s="58" t="s">
        <v>626</v>
      </c>
      <c r="D48" s="59" t="s">
        <v>605</v>
      </c>
      <c r="E48" s="58" t="s">
        <v>610</v>
      </c>
      <c r="F48" s="58" t="s">
        <v>607</v>
      </c>
    </row>
    <row r="49" spans="1:6" ht="26.1" customHeight="1">
      <c r="A49" s="58" t="s">
        <v>2649</v>
      </c>
      <c r="B49" s="60" t="s">
        <v>603</v>
      </c>
      <c r="C49" s="58" t="s">
        <v>2650</v>
      </c>
      <c r="D49" s="59" t="s">
        <v>605</v>
      </c>
      <c r="E49" s="58" t="s">
        <v>1939</v>
      </c>
      <c r="F49" s="58" t="s">
        <v>2651</v>
      </c>
    </row>
    <row r="50" spans="1:6" ht="26.1" customHeight="1">
      <c r="A50" s="58" t="s">
        <v>2652</v>
      </c>
      <c r="B50" s="61" t="s">
        <v>619</v>
      </c>
      <c r="C50" s="64" t="s">
        <v>650</v>
      </c>
      <c r="D50" s="65" t="s">
        <v>605</v>
      </c>
      <c r="E50" s="58" t="s">
        <v>651</v>
      </c>
      <c r="F50" s="58" t="s">
        <v>607</v>
      </c>
    </row>
    <row r="51" spans="1:6" ht="26.1" customHeight="1">
      <c r="A51" s="58" t="s">
        <v>2653</v>
      </c>
      <c r="B51" s="60" t="s">
        <v>603</v>
      </c>
      <c r="C51" s="64" t="s">
        <v>2654</v>
      </c>
      <c r="D51" s="65" t="s">
        <v>605</v>
      </c>
      <c r="E51" s="58" t="s">
        <v>610</v>
      </c>
      <c r="F51" s="58" t="s">
        <v>691</v>
      </c>
    </row>
    <row r="52" spans="1:6" ht="26.1" customHeight="1">
      <c r="A52" s="58" t="s">
        <v>2655</v>
      </c>
      <c r="B52" s="60" t="s">
        <v>603</v>
      </c>
      <c r="C52" s="64" t="s">
        <v>2656</v>
      </c>
      <c r="D52" s="65" t="s">
        <v>605</v>
      </c>
      <c r="E52" s="58" t="s">
        <v>606</v>
      </c>
      <c r="F52" s="58" t="s">
        <v>691</v>
      </c>
    </row>
    <row r="53" spans="1:6" ht="26.1" customHeight="1">
      <c r="A53" s="58" t="s">
        <v>2657</v>
      </c>
      <c r="B53" s="61" t="s">
        <v>619</v>
      </c>
      <c r="C53" s="64" t="s">
        <v>2342</v>
      </c>
      <c r="D53" s="65" t="s">
        <v>605</v>
      </c>
      <c r="E53" s="58" t="s">
        <v>620</v>
      </c>
      <c r="F53" s="58" t="s">
        <v>691</v>
      </c>
    </row>
    <row r="54" spans="1:6" ht="26.1" customHeight="1">
      <c r="A54" s="58" t="s">
        <v>2658</v>
      </c>
      <c r="B54" s="60" t="s">
        <v>603</v>
      </c>
      <c r="C54" s="64" t="s">
        <v>626</v>
      </c>
      <c r="D54" s="65" t="s">
        <v>605</v>
      </c>
      <c r="E54" s="58" t="s">
        <v>606</v>
      </c>
      <c r="F54" s="58" t="s">
        <v>607</v>
      </c>
    </row>
    <row r="55" spans="1:6" ht="26.1" customHeight="1">
      <c r="A55" s="58" t="s">
        <v>2659</v>
      </c>
      <c r="B55" s="60" t="s">
        <v>603</v>
      </c>
      <c r="C55" s="64" t="s">
        <v>2660</v>
      </c>
      <c r="D55" s="65" t="s">
        <v>605</v>
      </c>
      <c r="E55" s="58" t="s">
        <v>2661</v>
      </c>
      <c r="F55" s="58" t="s">
        <v>870</v>
      </c>
    </row>
    <row r="56" spans="1:6" ht="26.1" customHeight="1">
      <c r="A56" s="58" t="s">
        <v>2662</v>
      </c>
      <c r="B56" s="60" t="s">
        <v>603</v>
      </c>
      <c r="C56" s="64" t="s">
        <v>2663</v>
      </c>
      <c r="D56" s="65" t="s">
        <v>605</v>
      </c>
      <c r="E56" s="58" t="s">
        <v>606</v>
      </c>
      <c r="F56" s="58" t="s">
        <v>691</v>
      </c>
    </row>
    <row r="57" spans="1:6" ht="26.1" customHeight="1">
      <c r="A57" s="58" t="s">
        <v>2664</v>
      </c>
      <c r="B57" s="60" t="s">
        <v>603</v>
      </c>
      <c r="C57" s="64" t="s">
        <v>2665</v>
      </c>
      <c r="D57" s="65" t="s">
        <v>605</v>
      </c>
      <c r="E57" s="58" t="s">
        <v>606</v>
      </c>
      <c r="F57" s="58" t="s">
        <v>691</v>
      </c>
    </row>
    <row r="58" spans="1:6" ht="26.1" customHeight="1">
      <c r="A58" s="58" t="s">
        <v>2666</v>
      </c>
      <c r="B58" s="60" t="s">
        <v>603</v>
      </c>
      <c r="C58" s="64" t="s">
        <v>2667</v>
      </c>
      <c r="D58" s="65" t="s">
        <v>605</v>
      </c>
      <c r="E58" s="58" t="s">
        <v>610</v>
      </c>
      <c r="F58" s="58" t="s">
        <v>691</v>
      </c>
    </row>
    <row r="59" spans="1:6" ht="26.1" customHeight="1">
      <c r="A59" s="58" t="s">
        <v>2668</v>
      </c>
      <c r="B59" s="61" t="s">
        <v>619</v>
      </c>
      <c r="C59" s="64" t="s">
        <v>2669</v>
      </c>
      <c r="D59" s="65" t="s">
        <v>605</v>
      </c>
      <c r="E59" s="58" t="s">
        <v>620</v>
      </c>
      <c r="F59" s="58" t="s">
        <v>870</v>
      </c>
    </row>
    <row r="60" spans="1:6" ht="26.1" customHeight="1">
      <c r="A60" s="58" t="s">
        <v>2670</v>
      </c>
      <c r="B60" s="61" t="s">
        <v>619</v>
      </c>
      <c r="C60" s="64" t="s">
        <v>650</v>
      </c>
      <c r="D60" s="65" t="s">
        <v>605</v>
      </c>
      <c r="E60" s="58" t="s">
        <v>651</v>
      </c>
      <c r="F60" s="58" t="s">
        <v>607</v>
      </c>
    </row>
    <row r="61" spans="1:6" ht="26.1" customHeight="1">
      <c r="A61" s="58" t="s">
        <v>2671</v>
      </c>
      <c r="B61" s="61" t="s">
        <v>619</v>
      </c>
      <c r="C61" s="64" t="s">
        <v>2672</v>
      </c>
      <c r="D61" s="65" t="s">
        <v>605</v>
      </c>
      <c r="E61" s="58" t="s">
        <v>620</v>
      </c>
      <c r="F61" s="58" t="s">
        <v>691</v>
      </c>
    </row>
    <row r="62" spans="1:6" ht="26.1" customHeight="1">
      <c r="A62" s="58" t="s">
        <v>2673</v>
      </c>
      <c r="B62" s="61" t="s">
        <v>619</v>
      </c>
      <c r="C62" s="64" t="s">
        <v>2613</v>
      </c>
      <c r="D62" s="65" t="s">
        <v>605</v>
      </c>
      <c r="E62" s="58" t="s">
        <v>620</v>
      </c>
      <c r="F62" s="58" t="s">
        <v>691</v>
      </c>
    </row>
    <row r="63" spans="1:6" ht="26.1" customHeight="1">
      <c r="A63" s="58" t="s">
        <v>2674</v>
      </c>
      <c r="B63" s="61" t="s">
        <v>619</v>
      </c>
      <c r="C63" s="64" t="s">
        <v>650</v>
      </c>
      <c r="D63" s="65" t="s">
        <v>605</v>
      </c>
      <c r="E63" s="58" t="s">
        <v>651</v>
      </c>
      <c r="F63" s="58" t="s">
        <v>607</v>
      </c>
    </row>
    <row r="64" spans="1:6" ht="26.1" customHeight="1">
      <c r="A64" s="58" t="s">
        <v>2675</v>
      </c>
      <c r="B64" s="60" t="s">
        <v>603</v>
      </c>
      <c r="C64" s="64" t="s">
        <v>2676</v>
      </c>
      <c r="D64" s="65" t="s">
        <v>605</v>
      </c>
      <c r="E64" s="58" t="s">
        <v>2677</v>
      </c>
      <c r="F64" s="58" t="s">
        <v>2678</v>
      </c>
    </row>
    <row r="65" spans="1:6" ht="26.1" customHeight="1">
      <c r="A65" s="58" t="s">
        <v>2679</v>
      </c>
      <c r="B65" s="61" t="s">
        <v>619</v>
      </c>
      <c r="C65" s="64" t="s">
        <v>650</v>
      </c>
      <c r="D65" s="65" t="s">
        <v>605</v>
      </c>
      <c r="E65" s="58" t="s">
        <v>651</v>
      </c>
      <c r="F65" s="58" t="s">
        <v>607</v>
      </c>
    </row>
    <row r="66" spans="1:6" ht="26.1" customHeight="1">
      <c r="A66" s="58" t="s">
        <v>2680</v>
      </c>
      <c r="B66" s="61" t="s">
        <v>619</v>
      </c>
      <c r="C66" s="64" t="s">
        <v>2681</v>
      </c>
      <c r="D66" s="65" t="s">
        <v>605</v>
      </c>
      <c r="E66" s="58" t="s">
        <v>620</v>
      </c>
      <c r="F66" s="58" t="s">
        <v>1627</v>
      </c>
    </row>
    <row r="67" spans="1:6" ht="26.1" customHeight="1">
      <c r="A67" s="58" t="s">
        <v>224</v>
      </c>
      <c r="B67" s="60" t="s">
        <v>603</v>
      </c>
      <c r="C67" s="64" t="s">
        <v>2682</v>
      </c>
      <c r="D67" s="65" t="s">
        <v>605</v>
      </c>
      <c r="E67" s="58" t="s">
        <v>610</v>
      </c>
      <c r="F67" s="58" t="s">
        <v>2683</v>
      </c>
    </row>
    <row r="68" spans="1:6" ht="26.1" customHeight="1">
      <c r="A68" s="58" t="s">
        <v>2684</v>
      </c>
      <c r="B68" s="62" t="s">
        <v>615</v>
      </c>
      <c r="C68" s="64" t="s">
        <v>2001</v>
      </c>
      <c r="D68" s="65" t="s">
        <v>605</v>
      </c>
      <c r="E68" s="58" t="s">
        <v>617</v>
      </c>
      <c r="F68" s="58" t="s">
        <v>607</v>
      </c>
    </row>
    <row r="69" spans="1:6" ht="26.1" customHeight="1">
      <c r="A69" s="58" t="s">
        <v>2685</v>
      </c>
      <c r="B69" s="61" t="s">
        <v>619</v>
      </c>
      <c r="C69" s="64" t="s">
        <v>2686</v>
      </c>
      <c r="D69" s="65" t="s">
        <v>605</v>
      </c>
      <c r="E69" s="58" t="s">
        <v>620</v>
      </c>
      <c r="F69" s="58" t="s">
        <v>607</v>
      </c>
    </row>
    <row r="70" spans="1:6" ht="26.1" customHeight="1">
      <c r="A70" s="58" t="s">
        <v>2687</v>
      </c>
      <c r="B70" s="60" t="s">
        <v>603</v>
      </c>
      <c r="C70" s="64" t="s">
        <v>1996</v>
      </c>
      <c r="D70" s="65" t="s">
        <v>605</v>
      </c>
      <c r="E70" s="58" t="s">
        <v>610</v>
      </c>
      <c r="F70" s="58" t="s">
        <v>607</v>
      </c>
    </row>
    <row r="71" spans="1:6" ht="26.1" customHeight="1">
      <c r="A71" s="58" t="s">
        <v>2688</v>
      </c>
      <c r="B71" s="60" t="s">
        <v>603</v>
      </c>
      <c r="C71" s="64" t="s">
        <v>2689</v>
      </c>
      <c r="D71" s="65" t="s">
        <v>605</v>
      </c>
      <c r="E71" s="58" t="s">
        <v>2690</v>
      </c>
      <c r="F71" s="58" t="s">
        <v>2691</v>
      </c>
    </row>
    <row r="72" spans="1:6" ht="26.1" customHeight="1">
      <c r="A72" s="58" t="s">
        <v>2692</v>
      </c>
      <c r="B72" s="60" t="s">
        <v>603</v>
      </c>
      <c r="C72" s="64" t="s">
        <v>2693</v>
      </c>
      <c r="D72" s="65" t="s">
        <v>605</v>
      </c>
      <c r="E72" s="58" t="s">
        <v>911</v>
      </c>
      <c r="F72" s="58" t="s">
        <v>2694</v>
      </c>
    </row>
    <row r="73" spans="1:6" ht="26.1" customHeight="1">
      <c r="A73" s="58" t="s">
        <v>2695</v>
      </c>
      <c r="B73" s="60" t="s">
        <v>603</v>
      </c>
      <c r="C73" s="58" t="s">
        <v>2696</v>
      </c>
      <c r="D73" s="59" t="s">
        <v>605</v>
      </c>
      <c r="E73" s="58" t="s">
        <v>606</v>
      </c>
      <c r="F73" s="58" t="s">
        <v>1434</v>
      </c>
    </row>
    <row r="74" spans="1:6" ht="26.1" customHeight="1">
      <c r="A74" s="58" t="s">
        <v>2697</v>
      </c>
      <c r="B74" s="61" t="s">
        <v>619</v>
      </c>
      <c r="C74" s="58" t="s">
        <v>650</v>
      </c>
      <c r="D74" s="59" t="s">
        <v>605</v>
      </c>
      <c r="E74" s="58" t="s">
        <v>651</v>
      </c>
      <c r="F74" s="58" t="s">
        <v>607</v>
      </c>
    </row>
    <row r="75" spans="1:6" ht="26.1" customHeight="1">
      <c r="A75" s="58" t="s">
        <v>265</v>
      </c>
      <c r="B75" s="60" t="s">
        <v>603</v>
      </c>
      <c r="C75" s="58" t="s">
        <v>2698</v>
      </c>
      <c r="D75" s="59" t="s">
        <v>605</v>
      </c>
      <c r="E75" s="58" t="s">
        <v>804</v>
      </c>
      <c r="F75" s="58" t="s">
        <v>2699</v>
      </c>
    </row>
    <row r="76" spans="1:6" ht="26.1" customHeight="1">
      <c r="A76" s="58" t="s">
        <v>2700</v>
      </c>
      <c r="B76" s="60" t="s">
        <v>603</v>
      </c>
      <c r="C76" s="58" t="s">
        <v>2701</v>
      </c>
      <c r="D76" s="59" t="s">
        <v>605</v>
      </c>
      <c r="E76" s="58" t="s">
        <v>606</v>
      </c>
      <c r="F76" s="58" t="s">
        <v>691</v>
      </c>
    </row>
    <row r="77" spans="1:6" ht="26.1" customHeight="1">
      <c r="A77" s="58" t="s">
        <v>2702</v>
      </c>
      <c r="B77" s="61" t="s">
        <v>619</v>
      </c>
      <c r="C77" s="67" t="s">
        <v>650</v>
      </c>
      <c r="D77" s="59" t="s">
        <v>605</v>
      </c>
      <c r="E77" s="58" t="s">
        <v>651</v>
      </c>
      <c r="F77" s="58" t="s">
        <v>607</v>
      </c>
    </row>
    <row r="78" spans="1:6" ht="26.1" customHeight="1">
      <c r="A78" s="58" t="s">
        <v>2703</v>
      </c>
      <c r="B78" s="61" t="s">
        <v>619</v>
      </c>
      <c r="C78" s="58" t="s">
        <v>650</v>
      </c>
      <c r="D78" s="59" t="s">
        <v>605</v>
      </c>
      <c r="E78" s="58" t="s">
        <v>651</v>
      </c>
      <c r="F78" s="58" t="s">
        <v>607</v>
      </c>
    </row>
    <row r="79" spans="1:6" ht="26.1" customHeight="1">
      <c r="A79" s="58" t="s">
        <v>2704</v>
      </c>
      <c r="B79" s="60" t="s">
        <v>603</v>
      </c>
      <c r="C79" s="58" t="s">
        <v>2705</v>
      </c>
      <c r="D79" s="59" t="s">
        <v>605</v>
      </c>
      <c r="E79" s="58" t="s">
        <v>911</v>
      </c>
      <c r="F79" s="58" t="s">
        <v>2706</v>
      </c>
    </row>
    <row r="80" spans="1:6" ht="26.1" customHeight="1">
      <c r="A80" s="58" t="s">
        <v>2707</v>
      </c>
      <c r="B80" s="60" t="s">
        <v>603</v>
      </c>
      <c r="C80" s="58" t="s">
        <v>2708</v>
      </c>
      <c r="D80" s="59" t="s">
        <v>605</v>
      </c>
      <c r="E80" s="58" t="s">
        <v>2709</v>
      </c>
      <c r="F80" s="58" t="s">
        <v>2710</v>
      </c>
    </row>
    <row r="81" spans="1:6" ht="26.1" customHeight="1">
      <c r="A81" s="58" t="s">
        <v>2711</v>
      </c>
      <c r="B81" s="61" t="s">
        <v>619</v>
      </c>
      <c r="C81" s="67" t="s">
        <v>888</v>
      </c>
      <c r="D81" s="59" t="s">
        <v>605</v>
      </c>
      <c r="E81" s="58" t="s">
        <v>620</v>
      </c>
      <c r="F81" s="58" t="s">
        <v>607</v>
      </c>
    </row>
    <row r="82" spans="1:6" ht="26.1" customHeight="1">
      <c r="A82" s="58" t="s">
        <v>2712</v>
      </c>
      <c r="B82" s="60" t="s">
        <v>603</v>
      </c>
      <c r="C82" s="67" t="s">
        <v>2713</v>
      </c>
      <c r="D82" s="59" t="s">
        <v>605</v>
      </c>
      <c r="E82" s="58" t="s">
        <v>2709</v>
      </c>
      <c r="F82" s="58" t="s">
        <v>2714</v>
      </c>
    </row>
    <row r="83" spans="1:6" ht="26.1" customHeight="1">
      <c r="A83" s="58" t="s">
        <v>2715</v>
      </c>
      <c r="B83" s="61" t="s">
        <v>619</v>
      </c>
      <c r="C83" s="58" t="s">
        <v>650</v>
      </c>
      <c r="D83" s="59" t="s">
        <v>605</v>
      </c>
      <c r="E83" s="58" t="s">
        <v>651</v>
      </c>
      <c r="F83" s="58" t="s">
        <v>607</v>
      </c>
    </row>
    <row r="84" spans="1:6" ht="26.1" customHeight="1">
      <c r="A84" s="58" t="s">
        <v>2716</v>
      </c>
      <c r="B84" s="60" t="s">
        <v>603</v>
      </c>
      <c r="C84" s="58" t="s">
        <v>2717</v>
      </c>
      <c r="D84" s="59" t="s">
        <v>605</v>
      </c>
      <c r="E84" s="58" t="s">
        <v>610</v>
      </c>
      <c r="F84" s="58" t="s">
        <v>2718</v>
      </c>
    </row>
    <row r="85" spans="1:6" ht="26.1" customHeight="1">
      <c r="A85" s="58" t="s">
        <v>2719</v>
      </c>
      <c r="B85" s="61" t="s">
        <v>619</v>
      </c>
      <c r="C85" s="67" t="s">
        <v>650</v>
      </c>
      <c r="D85" s="59" t="s">
        <v>605</v>
      </c>
      <c r="E85" s="58" t="s">
        <v>651</v>
      </c>
      <c r="F85" s="58" t="s">
        <v>607</v>
      </c>
    </row>
    <row r="86" spans="1:6" ht="15">
      <c r="C86" s="53"/>
      <c r="D86" s="54"/>
    </row>
    <row r="87" spans="1:6" ht="15">
      <c r="C87" s="63" t="s">
        <v>633</v>
      </c>
      <c r="D87" s="63" t="str">
        <f>COUNTIF(D2:D85,"☑")&amp;" / "&amp;COUNTA(A2:A85)</f>
        <v>0 / 84</v>
      </c>
    </row>
  </sheetData>
  <conditionalFormatting sqref="B2:B48">
    <cfRule type="expression" dxfId="60" priority="1">
      <formula>B2="A"</formula>
    </cfRule>
    <cfRule type="expression" dxfId="59" priority="2">
      <formula>B2="B"</formula>
    </cfRule>
    <cfRule type="expression" dxfId="58" priority="3">
      <formula>B2="C"</formula>
    </cfRule>
  </conditionalFormatting>
  <conditionalFormatting sqref="D2:D85">
    <cfRule type="expression" dxfId="57" priority="4">
      <formula>D2="☑"</formula>
    </cfRule>
  </conditionalFormatting>
  <dataValidations count="1">
    <dataValidation type="list" sqref="D2:D85" xr:uid="{00000000-0002-0000-1B00-000000000000}">
      <formula1>"☐,☑"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92"/>
  <sheetViews>
    <sheetView workbookViewId="0"/>
  </sheetViews>
  <sheetFormatPr defaultRowHeight="14.25"/>
  <cols>
    <col min="1" max="1" width="34" customWidth="1"/>
    <col min="2" max="2" width="10" customWidth="1"/>
    <col min="3" max="3" width="48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69" t="s">
        <v>598</v>
      </c>
      <c r="B1" s="69" t="s">
        <v>599</v>
      </c>
      <c r="C1" s="69" t="s">
        <v>13</v>
      </c>
      <c r="D1" s="69" t="s">
        <v>3</v>
      </c>
      <c r="E1" s="69" t="s">
        <v>600</v>
      </c>
      <c r="F1" s="69" t="s">
        <v>601</v>
      </c>
    </row>
    <row r="2" spans="1:6" ht="26.1" customHeight="1">
      <c r="A2" s="70" t="s">
        <v>2720</v>
      </c>
      <c r="B2" s="75" t="s">
        <v>619</v>
      </c>
      <c r="C2" s="70" t="s">
        <v>650</v>
      </c>
      <c r="D2" s="71" t="s">
        <v>605</v>
      </c>
      <c r="E2" s="70" t="s">
        <v>651</v>
      </c>
      <c r="F2" s="70" t="s">
        <v>607</v>
      </c>
    </row>
    <row r="3" spans="1:6" ht="26.1" customHeight="1">
      <c r="A3" s="70" t="s">
        <v>2721</v>
      </c>
      <c r="B3" s="75" t="s">
        <v>619</v>
      </c>
      <c r="C3" s="70" t="s">
        <v>2722</v>
      </c>
      <c r="D3" s="71" t="s">
        <v>605</v>
      </c>
      <c r="E3" s="70" t="s">
        <v>620</v>
      </c>
      <c r="F3" s="70" t="s">
        <v>2575</v>
      </c>
    </row>
    <row r="4" spans="1:6" ht="26.1" customHeight="1">
      <c r="A4" s="70" t="s">
        <v>2723</v>
      </c>
      <c r="B4" s="75" t="s">
        <v>619</v>
      </c>
      <c r="C4" s="70" t="s">
        <v>650</v>
      </c>
      <c r="D4" s="71" t="s">
        <v>605</v>
      </c>
      <c r="E4" s="70" t="s">
        <v>651</v>
      </c>
      <c r="F4" s="70" t="s">
        <v>607</v>
      </c>
    </row>
    <row r="5" spans="1:6" ht="26.1" customHeight="1">
      <c r="A5" s="70" t="s">
        <v>2724</v>
      </c>
      <c r="B5" s="75" t="s">
        <v>619</v>
      </c>
      <c r="C5" s="70" t="s">
        <v>2725</v>
      </c>
      <c r="D5" s="71" t="s">
        <v>605</v>
      </c>
      <c r="E5" s="70" t="s">
        <v>620</v>
      </c>
      <c r="F5" s="70" t="s">
        <v>607</v>
      </c>
    </row>
    <row r="6" spans="1:6" ht="26.1" customHeight="1">
      <c r="A6" s="70" t="s">
        <v>2726</v>
      </c>
      <c r="B6" s="75" t="s">
        <v>619</v>
      </c>
      <c r="C6" s="70" t="s">
        <v>2727</v>
      </c>
      <c r="D6" s="71" t="s">
        <v>605</v>
      </c>
      <c r="E6" s="70" t="s">
        <v>1939</v>
      </c>
      <c r="F6" s="70" t="s">
        <v>2412</v>
      </c>
    </row>
    <row r="7" spans="1:6" ht="26.1" customHeight="1">
      <c r="A7" s="70" t="s">
        <v>2728</v>
      </c>
      <c r="B7" s="75" t="s">
        <v>619</v>
      </c>
      <c r="C7" s="70" t="s">
        <v>650</v>
      </c>
      <c r="D7" s="71" t="s">
        <v>605</v>
      </c>
      <c r="E7" s="70" t="s">
        <v>651</v>
      </c>
      <c r="F7" s="70" t="s">
        <v>607</v>
      </c>
    </row>
    <row r="8" spans="1:6" ht="26.1" customHeight="1">
      <c r="A8" s="70" t="s">
        <v>2729</v>
      </c>
      <c r="B8" s="76" t="s">
        <v>603</v>
      </c>
      <c r="C8" s="70" t="s">
        <v>650</v>
      </c>
      <c r="D8" s="71" t="s">
        <v>605</v>
      </c>
      <c r="E8" s="70" t="s">
        <v>688</v>
      </c>
      <c r="F8" s="70" t="s">
        <v>607</v>
      </c>
    </row>
    <row r="9" spans="1:6" ht="26.1" customHeight="1">
      <c r="A9" s="70" t="s">
        <v>2730</v>
      </c>
      <c r="B9" s="75" t="s">
        <v>619</v>
      </c>
      <c r="C9" s="70" t="s">
        <v>650</v>
      </c>
      <c r="D9" s="71" t="s">
        <v>605</v>
      </c>
      <c r="E9" s="70" t="s">
        <v>651</v>
      </c>
      <c r="F9" s="70" t="s">
        <v>607</v>
      </c>
    </row>
    <row r="10" spans="1:6" ht="26.1" customHeight="1">
      <c r="A10" s="70" t="s">
        <v>2731</v>
      </c>
      <c r="B10" s="75" t="s">
        <v>619</v>
      </c>
      <c r="C10" s="70" t="s">
        <v>2732</v>
      </c>
      <c r="D10" s="71" t="s">
        <v>605</v>
      </c>
      <c r="E10" s="70" t="s">
        <v>620</v>
      </c>
      <c r="F10" s="70" t="s">
        <v>2733</v>
      </c>
    </row>
    <row r="11" spans="1:6" ht="26.1" customHeight="1">
      <c r="A11" s="70" t="s">
        <v>2734</v>
      </c>
      <c r="B11" s="75" t="s">
        <v>619</v>
      </c>
      <c r="C11" s="70" t="s">
        <v>650</v>
      </c>
      <c r="D11" s="71" t="s">
        <v>605</v>
      </c>
      <c r="E11" s="70" t="s">
        <v>651</v>
      </c>
      <c r="F11" s="70" t="s">
        <v>607</v>
      </c>
    </row>
    <row r="12" spans="1:6" ht="26.1" customHeight="1">
      <c r="A12" s="70" t="s">
        <v>2735</v>
      </c>
      <c r="B12" s="75" t="s">
        <v>619</v>
      </c>
      <c r="C12" s="70" t="s">
        <v>650</v>
      </c>
      <c r="D12" s="71" t="s">
        <v>605</v>
      </c>
      <c r="E12" s="70" t="s">
        <v>651</v>
      </c>
      <c r="F12" s="70" t="s">
        <v>607</v>
      </c>
    </row>
    <row r="13" spans="1:6" ht="26.1" customHeight="1">
      <c r="A13" s="70" t="s">
        <v>2736</v>
      </c>
      <c r="B13" s="76" t="s">
        <v>603</v>
      </c>
      <c r="C13" s="70" t="s">
        <v>888</v>
      </c>
      <c r="D13" s="71" t="s">
        <v>605</v>
      </c>
      <c r="E13" s="70" t="s">
        <v>606</v>
      </c>
      <c r="F13" s="70" t="s">
        <v>607</v>
      </c>
    </row>
    <row r="14" spans="1:6" ht="26.1" customHeight="1">
      <c r="A14" s="70" t="s">
        <v>2737</v>
      </c>
      <c r="B14" s="76" t="s">
        <v>603</v>
      </c>
      <c r="C14" s="70" t="s">
        <v>2708</v>
      </c>
      <c r="D14" s="71" t="s">
        <v>605</v>
      </c>
      <c r="E14" s="70" t="s">
        <v>2738</v>
      </c>
      <c r="F14" s="70" t="s">
        <v>2739</v>
      </c>
    </row>
    <row r="15" spans="1:6" ht="26.1" customHeight="1">
      <c r="A15" s="70" t="s">
        <v>2740</v>
      </c>
      <c r="B15" s="75" t="s">
        <v>619</v>
      </c>
      <c r="C15" s="70" t="s">
        <v>650</v>
      </c>
      <c r="D15" s="71" t="s">
        <v>605</v>
      </c>
      <c r="E15" s="70" t="s">
        <v>651</v>
      </c>
      <c r="F15" s="70" t="s">
        <v>607</v>
      </c>
    </row>
    <row r="16" spans="1:6" ht="26.1" customHeight="1">
      <c r="A16" s="70" t="s">
        <v>266</v>
      </c>
      <c r="B16" s="76" t="s">
        <v>603</v>
      </c>
      <c r="C16" s="70" t="s">
        <v>2741</v>
      </c>
      <c r="D16" s="71" t="s">
        <v>605</v>
      </c>
      <c r="E16" s="70" t="s">
        <v>610</v>
      </c>
      <c r="F16" s="70" t="s">
        <v>2742</v>
      </c>
    </row>
    <row r="17" spans="1:6" ht="26.1" customHeight="1">
      <c r="A17" s="70" t="s">
        <v>2743</v>
      </c>
      <c r="B17" s="76" t="s">
        <v>603</v>
      </c>
      <c r="C17" s="70" t="s">
        <v>2744</v>
      </c>
      <c r="D17" s="71" t="s">
        <v>605</v>
      </c>
      <c r="E17" s="70" t="s">
        <v>606</v>
      </c>
      <c r="F17" s="70" t="s">
        <v>2575</v>
      </c>
    </row>
    <row r="18" spans="1:6" ht="26.1" customHeight="1">
      <c r="A18" s="70" t="s">
        <v>2745</v>
      </c>
      <c r="B18" s="76" t="s">
        <v>603</v>
      </c>
      <c r="C18" s="70" t="s">
        <v>609</v>
      </c>
      <c r="D18" s="71" t="s">
        <v>605</v>
      </c>
      <c r="E18" s="70" t="s">
        <v>610</v>
      </c>
      <c r="F18" s="70" t="s">
        <v>1385</v>
      </c>
    </row>
    <row r="19" spans="1:6" ht="26.1" customHeight="1">
      <c r="A19" s="70" t="s">
        <v>2746</v>
      </c>
      <c r="B19" s="76" t="s">
        <v>603</v>
      </c>
      <c r="C19" s="70" t="s">
        <v>2747</v>
      </c>
      <c r="D19" s="71" t="s">
        <v>605</v>
      </c>
      <c r="E19" s="70" t="s">
        <v>610</v>
      </c>
      <c r="F19" s="70" t="s">
        <v>691</v>
      </c>
    </row>
    <row r="20" spans="1:6" ht="26.1" customHeight="1">
      <c r="A20" s="70" t="s">
        <v>494</v>
      </c>
      <c r="B20" s="76" t="s">
        <v>603</v>
      </c>
      <c r="C20" s="70" t="s">
        <v>2748</v>
      </c>
      <c r="D20" s="71" t="s">
        <v>605</v>
      </c>
      <c r="E20" s="70" t="s">
        <v>2749</v>
      </c>
      <c r="F20" s="70" t="s">
        <v>2750</v>
      </c>
    </row>
    <row r="21" spans="1:6" ht="26.1" customHeight="1">
      <c r="A21" s="70" t="s">
        <v>2751</v>
      </c>
      <c r="B21" s="76" t="s">
        <v>603</v>
      </c>
      <c r="C21" s="70" t="s">
        <v>2752</v>
      </c>
      <c r="D21" s="71" t="s">
        <v>605</v>
      </c>
      <c r="E21" s="70" t="s">
        <v>683</v>
      </c>
      <c r="F21" s="70" t="s">
        <v>2048</v>
      </c>
    </row>
    <row r="22" spans="1:6" ht="26.1" customHeight="1">
      <c r="A22" s="70" t="s">
        <v>2753</v>
      </c>
      <c r="B22" s="76" t="s">
        <v>603</v>
      </c>
      <c r="C22" s="70" t="s">
        <v>2754</v>
      </c>
      <c r="D22" s="71" t="s">
        <v>605</v>
      </c>
      <c r="E22" s="70" t="s">
        <v>606</v>
      </c>
      <c r="F22" s="70" t="s">
        <v>691</v>
      </c>
    </row>
    <row r="23" spans="1:6" ht="26.1" customHeight="1">
      <c r="A23" s="70" t="s">
        <v>2755</v>
      </c>
      <c r="B23" s="75" t="s">
        <v>619</v>
      </c>
      <c r="C23" s="70" t="s">
        <v>650</v>
      </c>
      <c r="D23" s="71" t="s">
        <v>605</v>
      </c>
      <c r="E23" s="70" t="s">
        <v>651</v>
      </c>
      <c r="F23" s="70" t="s">
        <v>607</v>
      </c>
    </row>
    <row r="24" spans="1:6" ht="26.1" customHeight="1">
      <c r="A24" s="70" t="s">
        <v>2756</v>
      </c>
      <c r="B24" s="76" t="s">
        <v>603</v>
      </c>
      <c r="C24" s="70" t="s">
        <v>650</v>
      </c>
      <c r="D24" s="71" t="s">
        <v>605</v>
      </c>
      <c r="E24" s="70" t="s">
        <v>688</v>
      </c>
      <c r="F24" s="70" t="s">
        <v>607</v>
      </c>
    </row>
    <row r="25" spans="1:6" ht="26.1" customHeight="1">
      <c r="A25" s="70" t="s">
        <v>2757</v>
      </c>
      <c r="B25" s="76" t="s">
        <v>603</v>
      </c>
      <c r="C25" s="70" t="s">
        <v>2758</v>
      </c>
      <c r="D25" s="71" t="s">
        <v>605</v>
      </c>
      <c r="E25" s="70" t="s">
        <v>606</v>
      </c>
      <c r="F25" s="70" t="s">
        <v>691</v>
      </c>
    </row>
    <row r="26" spans="1:6" ht="26.1" customHeight="1">
      <c r="A26" s="70" t="s">
        <v>2759</v>
      </c>
      <c r="B26" s="75" t="s">
        <v>619</v>
      </c>
      <c r="C26" s="70" t="s">
        <v>650</v>
      </c>
      <c r="D26" s="71" t="s">
        <v>605</v>
      </c>
      <c r="E26" s="70" t="s">
        <v>651</v>
      </c>
      <c r="F26" s="70" t="s">
        <v>607</v>
      </c>
    </row>
    <row r="27" spans="1:6" ht="26.1" customHeight="1">
      <c r="A27" s="70" t="s">
        <v>84</v>
      </c>
      <c r="B27" s="76" t="s">
        <v>603</v>
      </c>
      <c r="C27" s="70" t="s">
        <v>2760</v>
      </c>
      <c r="D27" s="71" t="s">
        <v>605</v>
      </c>
      <c r="E27" s="70" t="s">
        <v>606</v>
      </c>
      <c r="F27" s="70" t="s">
        <v>870</v>
      </c>
    </row>
    <row r="28" spans="1:6" ht="26.1" customHeight="1">
      <c r="A28" s="70" t="s">
        <v>2761</v>
      </c>
      <c r="B28" s="77" t="s">
        <v>615</v>
      </c>
      <c r="C28" s="70" t="s">
        <v>626</v>
      </c>
      <c r="D28" s="71" t="s">
        <v>605</v>
      </c>
      <c r="E28" s="70" t="s">
        <v>630</v>
      </c>
      <c r="F28" s="70" t="s">
        <v>607</v>
      </c>
    </row>
    <row r="29" spans="1:6" ht="26.1" customHeight="1">
      <c r="A29" s="70" t="s">
        <v>2762</v>
      </c>
      <c r="B29" s="76" t="s">
        <v>603</v>
      </c>
      <c r="C29" s="70" t="s">
        <v>2763</v>
      </c>
      <c r="D29" s="71" t="s">
        <v>605</v>
      </c>
      <c r="E29" s="70" t="s">
        <v>1146</v>
      </c>
      <c r="F29" s="70" t="s">
        <v>607</v>
      </c>
    </row>
    <row r="30" spans="1:6" ht="26.1" customHeight="1">
      <c r="A30" s="70" t="s">
        <v>345</v>
      </c>
      <c r="B30" s="76" t="s">
        <v>603</v>
      </c>
      <c r="C30" s="70" t="s">
        <v>2764</v>
      </c>
      <c r="D30" s="71" t="s">
        <v>605</v>
      </c>
      <c r="E30" s="70" t="s">
        <v>610</v>
      </c>
      <c r="F30" s="70" t="s">
        <v>2765</v>
      </c>
    </row>
    <row r="31" spans="1:6" ht="26.1" customHeight="1">
      <c r="A31" s="70" t="s">
        <v>2766</v>
      </c>
      <c r="B31" s="75" t="s">
        <v>619</v>
      </c>
      <c r="C31" s="70" t="s">
        <v>650</v>
      </c>
      <c r="D31" s="71" t="s">
        <v>605</v>
      </c>
      <c r="E31" s="70" t="s">
        <v>651</v>
      </c>
      <c r="F31" s="70" t="s">
        <v>607</v>
      </c>
    </row>
    <row r="32" spans="1:6" ht="26.1" customHeight="1">
      <c r="A32" s="70" t="s">
        <v>2767</v>
      </c>
      <c r="B32" s="75" t="s">
        <v>619</v>
      </c>
      <c r="C32" s="70" t="s">
        <v>888</v>
      </c>
      <c r="D32" s="71" t="s">
        <v>605</v>
      </c>
      <c r="E32" s="70" t="s">
        <v>620</v>
      </c>
      <c r="F32" s="70" t="s">
        <v>607</v>
      </c>
    </row>
    <row r="33" spans="1:6" ht="26.1" customHeight="1">
      <c r="A33" s="70" t="s">
        <v>2768</v>
      </c>
      <c r="B33" s="76" t="s">
        <v>603</v>
      </c>
      <c r="C33" s="70" t="s">
        <v>2769</v>
      </c>
      <c r="D33" s="71" t="s">
        <v>605</v>
      </c>
      <c r="E33" s="70" t="s">
        <v>683</v>
      </c>
      <c r="F33" s="70" t="s">
        <v>607</v>
      </c>
    </row>
    <row r="34" spans="1:6" ht="26.1" customHeight="1">
      <c r="A34" s="70" t="s">
        <v>2770</v>
      </c>
      <c r="B34" s="77" t="s">
        <v>615</v>
      </c>
      <c r="C34" s="70" t="s">
        <v>2771</v>
      </c>
      <c r="D34" s="71" t="s">
        <v>605</v>
      </c>
      <c r="E34" s="70" t="s">
        <v>2772</v>
      </c>
      <c r="F34" s="70" t="s">
        <v>2416</v>
      </c>
    </row>
    <row r="35" spans="1:6" ht="26.1" customHeight="1">
      <c r="A35" s="70" t="s">
        <v>2773</v>
      </c>
      <c r="B35" s="77" t="s">
        <v>615</v>
      </c>
      <c r="C35" s="70" t="s">
        <v>2774</v>
      </c>
      <c r="D35" s="71" t="s">
        <v>605</v>
      </c>
      <c r="E35" s="70" t="s">
        <v>630</v>
      </c>
      <c r="F35" s="70" t="s">
        <v>607</v>
      </c>
    </row>
    <row r="36" spans="1:6" ht="26.1" customHeight="1">
      <c r="A36" s="70" t="s">
        <v>2775</v>
      </c>
      <c r="B36" s="75" t="s">
        <v>619</v>
      </c>
      <c r="C36" s="70" t="s">
        <v>2776</v>
      </c>
      <c r="D36" s="71" t="s">
        <v>605</v>
      </c>
      <c r="E36" s="70" t="s">
        <v>620</v>
      </c>
      <c r="F36" s="70" t="s">
        <v>691</v>
      </c>
    </row>
    <row r="37" spans="1:6" ht="26.1" customHeight="1">
      <c r="A37" s="70" t="s">
        <v>496</v>
      </c>
      <c r="B37" s="76" t="s">
        <v>603</v>
      </c>
      <c r="C37" s="70" t="s">
        <v>2777</v>
      </c>
      <c r="D37" s="71" t="s">
        <v>605</v>
      </c>
      <c r="E37" s="70" t="s">
        <v>2778</v>
      </c>
      <c r="F37" s="70" t="s">
        <v>2779</v>
      </c>
    </row>
    <row r="38" spans="1:6" ht="26.1" customHeight="1">
      <c r="A38" s="70" t="s">
        <v>2780</v>
      </c>
      <c r="B38" s="76" t="s">
        <v>603</v>
      </c>
      <c r="C38" s="70" t="s">
        <v>1632</v>
      </c>
      <c r="D38" s="71" t="s">
        <v>605</v>
      </c>
      <c r="E38" s="70" t="s">
        <v>610</v>
      </c>
      <c r="F38" s="70" t="s">
        <v>607</v>
      </c>
    </row>
    <row r="39" spans="1:6" ht="26.1" customHeight="1">
      <c r="A39" s="70" t="s">
        <v>2781</v>
      </c>
      <c r="B39" s="76" t="s">
        <v>603</v>
      </c>
      <c r="C39" s="70" t="s">
        <v>2782</v>
      </c>
      <c r="D39" s="71" t="s">
        <v>605</v>
      </c>
      <c r="E39" s="70" t="s">
        <v>610</v>
      </c>
      <c r="F39" s="70" t="s">
        <v>1385</v>
      </c>
    </row>
    <row r="40" spans="1:6" ht="26.1" customHeight="1">
      <c r="A40" s="70" t="s">
        <v>2783</v>
      </c>
      <c r="B40" s="76" t="s">
        <v>603</v>
      </c>
      <c r="C40" s="70" t="s">
        <v>2784</v>
      </c>
      <c r="D40" s="71" t="s">
        <v>605</v>
      </c>
      <c r="E40" s="70" t="s">
        <v>606</v>
      </c>
      <c r="F40" s="70" t="s">
        <v>691</v>
      </c>
    </row>
    <row r="41" spans="1:6" ht="26.1" customHeight="1">
      <c r="A41" s="70" t="s">
        <v>2785</v>
      </c>
      <c r="B41" s="76" t="s">
        <v>603</v>
      </c>
      <c r="C41" s="70" t="s">
        <v>632</v>
      </c>
      <c r="D41" s="71" t="s">
        <v>605</v>
      </c>
      <c r="E41" s="70" t="s">
        <v>683</v>
      </c>
      <c r="F41" s="70" t="s">
        <v>607</v>
      </c>
    </row>
    <row r="42" spans="1:6" ht="26.1" customHeight="1">
      <c r="A42" s="70" t="s">
        <v>2786</v>
      </c>
      <c r="B42" s="76" t="s">
        <v>603</v>
      </c>
      <c r="C42" s="70" t="s">
        <v>2708</v>
      </c>
      <c r="D42" s="71" t="s">
        <v>605</v>
      </c>
      <c r="E42" s="70" t="s">
        <v>2787</v>
      </c>
      <c r="F42" s="70" t="s">
        <v>2788</v>
      </c>
    </row>
    <row r="43" spans="1:6" ht="26.1" customHeight="1">
      <c r="A43" s="70" t="s">
        <v>2789</v>
      </c>
      <c r="B43" s="76" t="s">
        <v>603</v>
      </c>
      <c r="C43" s="70" t="s">
        <v>1717</v>
      </c>
      <c r="D43" s="71" t="s">
        <v>605</v>
      </c>
      <c r="E43" s="70" t="s">
        <v>606</v>
      </c>
      <c r="F43" s="70" t="s">
        <v>691</v>
      </c>
    </row>
    <row r="44" spans="1:6" ht="26.1" customHeight="1">
      <c r="A44" s="70" t="s">
        <v>2790</v>
      </c>
      <c r="B44" s="75" t="s">
        <v>619</v>
      </c>
      <c r="C44" s="70" t="s">
        <v>650</v>
      </c>
      <c r="D44" s="71" t="s">
        <v>605</v>
      </c>
      <c r="E44" s="70" t="s">
        <v>651</v>
      </c>
      <c r="F44" s="70" t="s">
        <v>607</v>
      </c>
    </row>
    <row r="45" spans="1:6" ht="26.1" customHeight="1">
      <c r="A45" s="70" t="s">
        <v>2791</v>
      </c>
      <c r="B45" s="75" t="s">
        <v>619</v>
      </c>
      <c r="C45" s="70" t="s">
        <v>2792</v>
      </c>
      <c r="D45" s="71" t="s">
        <v>605</v>
      </c>
      <c r="E45" s="70" t="s">
        <v>620</v>
      </c>
      <c r="F45" s="70" t="s">
        <v>691</v>
      </c>
    </row>
    <row r="46" spans="1:6" ht="26.1" customHeight="1">
      <c r="A46" s="70" t="s">
        <v>2793</v>
      </c>
      <c r="B46" s="75" t="s">
        <v>619</v>
      </c>
      <c r="C46" s="70" t="s">
        <v>650</v>
      </c>
      <c r="D46" s="71" t="s">
        <v>605</v>
      </c>
      <c r="E46" s="70" t="s">
        <v>651</v>
      </c>
      <c r="F46" s="70" t="s">
        <v>607</v>
      </c>
    </row>
    <row r="47" spans="1:6" ht="26.1" customHeight="1">
      <c r="A47" s="70" t="s">
        <v>2794</v>
      </c>
      <c r="B47" s="75" t="s">
        <v>619</v>
      </c>
      <c r="C47" s="70" t="s">
        <v>2747</v>
      </c>
      <c r="D47" s="71" t="s">
        <v>605</v>
      </c>
      <c r="E47" s="70" t="s">
        <v>620</v>
      </c>
      <c r="F47" s="70" t="s">
        <v>607</v>
      </c>
    </row>
    <row r="48" spans="1:6" ht="26.1" customHeight="1">
      <c r="A48" s="70" t="s">
        <v>2795</v>
      </c>
      <c r="B48" s="76" t="s">
        <v>603</v>
      </c>
      <c r="C48" s="70" t="s">
        <v>2796</v>
      </c>
      <c r="D48" s="71" t="s">
        <v>605</v>
      </c>
      <c r="E48" s="70" t="s">
        <v>804</v>
      </c>
      <c r="F48" s="70" t="s">
        <v>2797</v>
      </c>
    </row>
    <row r="49" spans="1:6" ht="26.1" customHeight="1">
      <c r="A49" s="70" t="s">
        <v>267</v>
      </c>
      <c r="B49" s="76" t="s">
        <v>603</v>
      </c>
      <c r="C49" s="70" t="s">
        <v>2798</v>
      </c>
      <c r="D49" s="71" t="s">
        <v>605</v>
      </c>
      <c r="E49" s="70" t="s">
        <v>2799</v>
      </c>
      <c r="F49" s="70" t="s">
        <v>2800</v>
      </c>
    </row>
    <row r="50" spans="1:6" ht="26.1" customHeight="1">
      <c r="A50" s="70" t="s">
        <v>2801</v>
      </c>
      <c r="B50" s="75" t="s">
        <v>619</v>
      </c>
      <c r="C50" s="70" t="s">
        <v>2802</v>
      </c>
      <c r="D50" s="71" t="s">
        <v>605</v>
      </c>
      <c r="E50" s="70" t="s">
        <v>620</v>
      </c>
      <c r="F50" s="70" t="s">
        <v>1627</v>
      </c>
    </row>
    <row r="51" spans="1:6" ht="26.1" customHeight="1">
      <c r="A51" s="70" t="s">
        <v>2803</v>
      </c>
      <c r="B51" s="75" t="s">
        <v>619</v>
      </c>
      <c r="C51" s="70" t="s">
        <v>2804</v>
      </c>
      <c r="D51" s="71" t="s">
        <v>605</v>
      </c>
      <c r="E51" s="70" t="s">
        <v>911</v>
      </c>
      <c r="F51" s="70" t="s">
        <v>2805</v>
      </c>
    </row>
    <row r="52" spans="1:6" ht="26.1" customHeight="1">
      <c r="A52" s="70" t="s">
        <v>2645</v>
      </c>
      <c r="B52" s="76" t="s">
        <v>603</v>
      </c>
      <c r="C52" s="70" t="s">
        <v>650</v>
      </c>
      <c r="D52" s="71" t="s">
        <v>605</v>
      </c>
      <c r="E52" s="70" t="s">
        <v>688</v>
      </c>
      <c r="F52" s="70" t="s">
        <v>607</v>
      </c>
    </row>
    <row r="53" spans="1:6" ht="26.1" customHeight="1">
      <c r="A53" s="70" t="s">
        <v>2806</v>
      </c>
      <c r="B53" s="75" t="s">
        <v>619</v>
      </c>
      <c r="C53" s="70" t="s">
        <v>650</v>
      </c>
      <c r="D53" s="71" t="s">
        <v>605</v>
      </c>
      <c r="E53" s="70" t="s">
        <v>651</v>
      </c>
      <c r="F53" s="70" t="s">
        <v>607</v>
      </c>
    </row>
    <row r="54" spans="1:6" ht="26.1" customHeight="1">
      <c r="A54" s="70" t="s">
        <v>2807</v>
      </c>
      <c r="B54" s="75" t="s">
        <v>619</v>
      </c>
      <c r="C54" s="72" t="s">
        <v>650</v>
      </c>
      <c r="D54" s="73" t="s">
        <v>605</v>
      </c>
      <c r="E54" s="70" t="s">
        <v>651</v>
      </c>
      <c r="F54" s="70" t="s">
        <v>607</v>
      </c>
    </row>
    <row r="55" spans="1:6" ht="26.1" customHeight="1">
      <c r="A55" s="70" t="s">
        <v>2808</v>
      </c>
      <c r="B55" s="76" t="s">
        <v>603</v>
      </c>
      <c r="C55" s="72" t="s">
        <v>2809</v>
      </c>
      <c r="D55" s="73" t="s">
        <v>605</v>
      </c>
      <c r="E55" s="70" t="s">
        <v>610</v>
      </c>
      <c r="F55" s="70" t="s">
        <v>691</v>
      </c>
    </row>
    <row r="56" spans="1:6" ht="26.1" customHeight="1">
      <c r="A56" s="70" t="s">
        <v>2810</v>
      </c>
      <c r="B56" s="75" t="s">
        <v>619</v>
      </c>
      <c r="C56" s="72" t="s">
        <v>2342</v>
      </c>
      <c r="D56" s="73" t="s">
        <v>605</v>
      </c>
      <c r="E56" s="70" t="s">
        <v>620</v>
      </c>
      <c r="F56" s="70" t="s">
        <v>691</v>
      </c>
    </row>
    <row r="57" spans="1:6" ht="26.1" customHeight="1">
      <c r="A57" s="70" t="s">
        <v>2811</v>
      </c>
      <c r="B57" s="76" t="s">
        <v>603</v>
      </c>
      <c r="C57" s="72" t="s">
        <v>609</v>
      </c>
      <c r="D57" s="73" t="s">
        <v>605</v>
      </c>
      <c r="E57" s="70" t="s">
        <v>606</v>
      </c>
      <c r="F57" s="70" t="s">
        <v>607</v>
      </c>
    </row>
    <row r="58" spans="1:6" ht="26.1" customHeight="1">
      <c r="A58" s="70" t="s">
        <v>2812</v>
      </c>
      <c r="B58" s="75" t="s">
        <v>619</v>
      </c>
      <c r="C58" s="72" t="s">
        <v>650</v>
      </c>
      <c r="D58" s="73" t="s">
        <v>605</v>
      </c>
      <c r="E58" s="70" t="s">
        <v>651</v>
      </c>
      <c r="F58" s="70" t="s">
        <v>607</v>
      </c>
    </row>
    <row r="59" spans="1:6" ht="26.1" customHeight="1">
      <c r="A59" s="70" t="s">
        <v>2813</v>
      </c>
      <c r="B59" s="76" t="s">
        <v>603</v>
      </c>
      <c r="C59" s="72" t="s">
        <v>2814</v>
      </c>
      <c r="D59" s="73" t="s">
        <v>605</v>
      </c>
      <c r="E59" s="70" t="s">
        <v>2778</v>
      </c>
      <c r="F59" s="70" t="s">
        <v>2815</v>
      </c>
    </row>
    <row r="60" spans="1:6" ht="26.1" customHeight="1">
      <c r="A60" s="70" t="s">
        <v>2816</v>
      </c>
      <c r="B60" s="75" t="s">
        <v>619</v>
      </c>
      <c r="C60" s="72" t="s">
        <v>888</v>
      </c>
      <c r="D60" s="73" t="s">
        <v>605</v>
      </c>
      <c r="E60" s="70" t="s">
        <v>620</v>
      </c>
      <c r="F60" s="70" t="s">
        <v>607</v>
      </c>
    </row>
    <row r="61" spans="1:6" ht="26.1" customHeight="1">
      <c r="A61" s="70" t="s">
        <v>279</v>
      </c>
      <c r="B61" s="77" t="s">
        <v>615</v>
      </c>
      <c r="C61" s="72" t="s">
        <v>2817</v>
      </c>
      <c r="D61" s="73" t="s">
        <v>605</v>
      </c>
      <c r="E61" s="70" t="s">
        <v>617</v>
      </c>
      <c r="F61" s="70" t="s">
        <v>2818</v>
      </c>
    </row>
    <row r="62" spans="1:6" ht="26.1" customHeight="1">
      <c r="A62" s="70" t="s">
        <v>2819</v>
      </c>
      <c r="B62" s="76" t="s">
        <v>603</v>
      </c>
      <c r="C62" s="72" t="s">
        <v>1666</v>
      </c>
      <c r="D62" s="73" t="s">
        <v>605</v>
      </c>
      <c r="E62" s="70" t="s">
        <v>1146</v>
      </c>
      <c r="F62" s="70" t="s">
        <v>607</v>
      </c>
    </row>
    <row r="63" spans="1:6" ht="26.1" customHeight="1">
      <c r="A63" s="70" t="s">
        <v>2820</v>
      </c>
      <c r="B63" s="75" t="s">
        <v>619</v>
      </c>
      <c r="C63" s="72" t="s">
        <v>888</v>
      </c>
      <c r="D63" s="73" t="s">
        <v>605</v>
      </c>
      <c r="E63" s="70" t="s">
        <v>620</v>
      </c>
      <c r="F63" s="70" t="s">
        <v>607</v>
      </c>
    </row>
    <row r="64" spans="1:6" ht="26.1" customHeight="1">
      <c r="A64" s="70" t="s">
        <v>2821</v>
      </c>
      <c r="B64" s="75" t="s">
        <v>619</v>
      </c>
      <c r="C64" s="72" t="s">
        <v>888</v>
      </c>
      <c r="D64" s="73" t="s">
        <v>605</v>
      </c>
      <c r="E64" s="70" t="s">
        <v>620</v>
      </c>
      <c r="F64" s="70" t="s">
        <v>607</v>
      </c>
    </row>
    <row r="65" spans="1:6" ht="26.1" customHeight="1">
      <c r="A65" s="70" t="s">
        <v>2822</v>
      </c>
      <c r="B65" s="76" t="s">
        <v>603</v>
      </c>
      <c r="C65" s="72" t="s">
        <v>2823</v>
      </c>
      <c r="D65" s="73" t="s">
        <v>605</v>
      </c>
      <c r="E65" s="70" t="s">
        <v>610</v>
      </c>
      <c r="F65" s="70" t="s">
        <v>691</v>
      </c>
    </row>
    <row r="66" spans="1:6" ht="26.1" customHeight="1">
      <c r="A66" s="70" t="s">
        <v>2824</v>
      </c>
      <c r="B66" s="76" t="s">
        <v>603</v>
      </c>
      <c r="C66" s="72" t="s">
        <v>2825</v>
      </c>
      <c r="D66" s="73" t="s">
        <v>605</v>
      </c>
      <c r="E66" s="70" t="s">
        <v>2787</v>
      </c>
      <c r="F66" s="70" t="s">
        <v>2826</v>
      </c>
    </row>
    <row r="67" spans="1:6" ht="26.1" customHeight="1">
      <c r="A67" s="70" t="s">
        <v>2827</v>
      </c>
      <c r="B67" s="75" t="s">
        <v>619</v>
      </c>
      <c r="C67" s="72" t="s">
        <v>650</v>
      </c>
      <c r="D67" s="73" t="s">
        <v>605</v>
      </c>
      <c r="E67" s="70" t="s">
        <v>651</v>
      </c>
      <c r="F67" s="70" t="s">
        <v>607</v>
      </c>
    </row>
    <row r="68" spans="1:6" ht="26.1" customHeight="1">
      <c r="A68" s="70" t="s">
        <v>2828</v>
      </c>
      <c r="B68" s="76" t="s">
        <v>603</v>
      </c>
      <c r="C68" s="72" t="s">
        <v>2829</v>
      </c>
      <c r="D68" s="73" t="s">
        <v>605</v>
      </c>
      <c r="E68" s="70" t="s">
        <v>606</v>
      </c>
      <c r="F68" s="70" t="s">
        <v>870</v>
      </c>
    </row>
    <row r="69" spans="1:6" ht="26.1" customHeight="1">
      <c r="A69" s="70" t="s">
        <v>2830</v>
      </c>
      <c r="B69" s="75" t="s">
        <v>619</v>
      </c>
      <c r="C69" s="72" t="s">
        <v>650</v>
      </c>
      <c r="D69" s="73" t="s">
        <v>605</v>
      </c>
      <c r="E69" s="70" t="s">
        <v>651</v>
      </c>
      <c r="F69" s="70" t="s">
        <v>607</v>
      </c>
    </row>
    <row r="70" spans="1:6" ht="26.1" customHeight="1">
      <c r="A70" s="70" t="s">
        <v>2831</v>
      </c>
      <c r="B70" s="76" t="s">
        <v>603</v>
      </c>
      <c r="C70" s="72" t="s">
        <v>650</v>
      </c>
      <c r="D70" s="73" t="s">
        <v>605</v>
      </c>
      <c r="E70" s="70" t="s">
        <v>688</v>
      </c>
      <c r="F70" s="70" t="s">
        <v>607</v>
      </c>
    </row>
    <row r="71" spans="1:6" ht="26.1" customHeight="1">
      <c r="A71" s="70" t="s">
        <v>2832</v>
      </c>
      <c r="B71" s="76" t="s">
        <v>603</v>
      </c>
      <c r="C71" s="70" t="s">
        <v>2833</v>
      </c>
      <c r="D71" s="71" t="s">
        <v>605</v>
      </c>
      <c r="E71" s="70" t="s">
        <v>610</v>
      </c>
      <c r="F71" s="70" t="s">
        <v>691</v>
      </c>
    </row>
    <row r="72" spans="1:6" ht="26.1" customHeight="1">
      <c r="A72" s="70" t="s">
        <v>2834</v>
      </c>
      <c r="B72" s="76" t="s">
        <v>603</v>
      </c>
      <c r="C72" s="70" t="s">
        <v>63</v>
      </c>
      <c r="D72" s="71" t="s">
        <v>605</v>
      </c>
      <c r="E72" s="70" t="s">
        <v>606</v>
      </c>
      <c r="F72" s="70" t="s">
        <v>607</v>
      </c>
    </row>
    <row r="73" spans="1:6" ht="26.1" customHeight="1">
      <c r="A73" s="70" t="s">
        <v>2835</v>
      </c>
      <c r="B73" s="76" t="s">
        <v>603</v>
      </c>
      <c r="C73" s="70" t="s">
        <v>2836</v>
      </c>
      <c r="D73" s="71" t="s">
        <v>605</v>
      </c>
      <c r="E73" s="70" t="s">
        <v>2837</v>
      </c>
      <c r="F73" s="70" t="s">
        <v>2838</v>
      </c>
    </row>
    <row r="74" spans="1:6" ht="26.1" customHeight="1">
      <c r="A74" s="70" t="s">
        <v>2839</v>
      </c>
      <c r="B74" s="76" t="s">
        <v>603</v>
      </c>
      <c r="C74" s="74" t="s">
        <v>2840</v>
      </c>
      <c r="D74" s="71" t="s">
        <v>605</v>
      </c>
      <c r="E74" s="70" t="s">
        <v>683</v>
      </c>
      <c r="F74" s="70" t="s">
        <v>2048</v>
      </c>
    </row>
    <row r="75" spans="1:6" ht="26.1" customHeight="1">
      <c r="A75" s="70" t="s">
        <v>161</v>
      </c>
      <c r="B75" s="76" t="s">
        <v>603</v>
      </c>
      <c r="C75" s="74" t="s">
        <v>2841</v>
      </c>
      <c r="D75" s="71" t="s">
        <v>605</v>
      </c>
      <c r="E75" s="70" t="s">
        <v>610</v>
      </c>
      <c r="F75" s="70" t="s">
        <v>1627</v>
      </c>
    </row>
    <row r="76" spans="1:6" ht="26.1" customHeight="1">
      <c r="A76" s="70" t="s">
        <v>2842</v>
      </c>
      <c r="B76" s="75" t="s">
        <v>619</v>
      </c>
      <c r="C76" s="74" t="s">
        <v>650</v>
      </c>
      <c r="D76" s="71" t="s">
        <v>605</v>
      </c>
      <c r="E76" s="70" t="s">
        <v>651</v>
      </c>
      <c r="F76" s="70" t="s">
        <v>607</v>
      </c>
    </row>
    <row r="77" spans="1:6" ht="26.1" customHeight="1">
      <c r="A77" s="70" t="s">
        <v>159</v>
      </c>
      <c r="B77" s="76" t="s">
        <v>603</v>
      </c>
      <c r="C77" s="70" t="s">
        <v>2843</v>
      </c>
      <c r="D77" s="71" t="s">
        <v>605</v>
      </c>
      <c r="E77" s="70" t="s">
        <v>911</v>
      </c>
      <c r="F77" s="70" t="s">
        <v>2844</v>
      </c>
    </row>
    <row r="78" spans="1:6" ht="26.1" customHeight="1">
      <c r="A78" s="70" t="s">
        <v>2845</v>
      </c>
      <c r="B78" s="76" t="s">
        <v>603</v>
      </c>
      <c r="C78" s="70" t="s">
        <v>2846</v>
      </c>
      <c r="D78" s="71" t="s">
        <v>605</v>
      </c>
      <c r="E78" s="70" t="s">
        <v>804</v>
      </c>
      <c r="F78" s="70" t="s">
        <v>2847</v>
      </c>
    </row>
    <row r="79" spans="1:6" ht="26.1" customHeight="1">
      <c r="A79" s="70" t="s">
        <v>2848</v>
      </c>
      <c r="B79" s="75" t="s">
        <v>619</v>
      </c>
      <c r="C79" s="74" t="s">
        <v>650</v>
      </c>
      <c r="D79" s="71" t="s">
        <v>605</v>
      </c>
      <c r="E79" s="70" t="s">
        <v>651</v>
      </c>
      <c r="F79" s="70" t="s">
        <v>607</v>
      </c>
    </row>
    <row r="80" spans="1:6" ht="26.1" customHeight="1">
      <c r="A80" s="70" t="s">
        <v>197</v>
      </c>
      <c r="B80" s="76" t="s">
        <v>603</v>
      </c>
      <c r="C80" s="74" t="s">
        <v>1494</v>
      </c>
      <c r="D80" s="71" t="s">
        <v>605</v>
      </c>
      <c r="E80" s="70" t="s">
        <v>911</v>
      </c>
      <c r="F80" s="70" t="s">
        <v>2849</v>
      </c>
    </row>
    <row r="81" spans="1:6" ht="26.1" customHeight="1">
      <c r="A81" s="70" t="s">
        <v>280</v>
      </c>
      <c r="B81" s="77" t="s">
        <v>615</v>
      </c>
      <c r="C81" s="70" t="s">
        <v>2850</v>
      </c>
      <c r="D81" s="71" t="s">
        <v>605</v>
      </c>
      <c r="E81" s="70" t="s">
        <v>1506</v>
      </c>
      <c r="F81" s="70" t="s">
        <v>2851</v>
      </c>
    </row>
    <row r="82" spans="1:6" ht="26.1" customHeight="1">
      <c r="A82" s="70" t="s">
        <v>2852</v>
      </c>
      <c r="B82" s="75" t="s">
        <v>619</v>
      </c>
      <c r="C82" s="70" t="s">
        <v>650</v>
      </c>
      <c r="D82" s="71" t="s">
        <v>605</v>
      </c>
      <c r="E82" s="70" t="s">
        <v>651</v>
      </c>
      <c r="F82" s="70" t="s">
        <v>607</v>
      </c>
    </row>
    <row r="83" spans="1:6" ht="26.1" customHeight="1">
      <c r="A83" s="70" t="s">
        <v>2853</v>
      </c>
      <c r="B83" s="75" t="s">
        <v>619</v>
      </c>
      <c r="C83" s="70" t="s">
        <v>650</v>
      </c>
      <c r="D83" s="71" t="s">
        <v>605</v>
      </c>
      <c r="E83" s="70" t="s">
        <v>651</v>
      </c>
      <c r="F83" s="70" t="s">
        <v>607</v>
      </c>
    </row>
    <row r="84" spans="1:6" ht="26.1" customHeight="1">
      <c r="A84" s="70" t="s">
        <v>2854</v>
      </c>
      <c r="B84" s="76" t="s">
        <v>603</v>
      </c>
      <c r="C84" s="70" t="s">
        <v>2855</v>
      </c>
      <c r="D84" s="71" t="s">
        <v>605</v>
      </c>
      <c r="E84" s="70" t="s">
        <v>610</v>
      </c>
      <c r="F84" s="70" t="s">
        <v>691</v>
      </c>
    </row>
    <row r="85" spans="1:6" ht="26.1" customHeight="1">
      <c r="A85" s="70" t="s">
        <v>2856</v>
      </c>
      <c r="B85" s="76" t="s">
        <v>603</v>
      </c>
      <c r="C85" s="74" t="s">
        <v>2857</v>
      </c>
      <c r="D85" s="71" t="s">
        <v>605</v>
      </c>
      <c r="E85" s="70" t="s">
        <v>606</v>
      </c>
      <c r="F85" s="70" t="s">
        <v>691</v>
      </c>
    </row>
    <row r="86" spans="1:6" ht="26.1" customHeight="1">
      <c r="A86" s="70" t="s">
        <v>2858</v>
      </c>
      <c r="B86" s="76" t="s">
        <v>603</v>
      </c>
      <c r="C86" s="70" t="s">
        <v>2170</v>
      </c>
      <c r="D86" s="71" t="s">
        <v>605</v>
      </c>
      <c r="E86" s="70" t="s">
        <v>610</v>
      </c>
      <c r="F86" s="70" t="s">
        <v>870</v>
      </c>
    </row>
    <row r="87" spans="1:6" ht="26.1" customHeight="1">
      <c r="A87" s="70" t="s">
        <v>2859</v>
      </c>
      <c r="B87" s="76" t="s">
        <v>603</v>
      </c>
      <c r="C87" s="70" t="s">
        <v>609</v>
      </c>
      <c r="D87" s="71" t="s">
        <v>605</v>
      </c>
      <c r="E87" s="70" t="s">
        <v>2860</v>
      </c>
      <c r="F87" s="70" t="s">
        <v>607</v>
      </c>
    </row>
    <row r="88" spans="1:6" ht="26.1" customHeight="1">
      <c r="A88" s="70" t="s">
        <v>2861</v>
      </c>
      <c r="B88" s="76" t="s">
        <v>603</v>
      </c>
      <c r="C88" s="70" t="s">
        <v>650</v>
      </c>
      <c r="D88" s="71" t="s">
        <v>605</v>
      </c>
      <c r="E88" s="70" t="s">
        <v>688</v>
      </c>
      <c r="F88" s="70" t="s">
        <v>607</v>
      </c>
    </row>
    <row r="89" spans="1:6" ht="26.1" customHeight="1">
      <c r="A89" s="70" t="s">
        <v>2862</v>
      </c>
      <c r="B89" s="75" t="s">
        <v>619</v>
      </c>
      <c r="C89" s="70" t="s">
        <v>650</v>
      </c>
      <c r="D89" s="71" t="s">
        <v>605</v>
      </c>
      <c r="E89" s="70" t="s">
        <v>651</v>
      </c>
      <c r="F89" s="70" t="s">
        <v>607</v>
      </c>
    </row>
    <row r="90" spans="1:6" ht="26.1" customHeight="1">
      <c r="A90" s="70" t="s">
        <v>2863</v>
      </c>
      <c r="B90" s="76" t="s">
        <v>603</v>
      </c>
      <c r="C90" s="70" t="s">
        <v>650</v>
      </c>
      <c r="D90" s="71" t="s">
        <v>605</v>
      </c>
      <c r="E90" s="70" t="s">
        <v>688</v>
      </c>
      <c r="F90" s="70" t="s">
        <v>607</v>
      </c>
    </row>
    <row r="91" spans="1:6" ht="15">
      <c r="C91" s="53"/>
      <c r="D91" s="54"/>
    </row>
    <row r="92" spans="1:6" ht="15">
      <c r="C92" s="78" t="s">
        <v>633</v>
      </c>
      <c r="D92" s="79" t="str">
        <f>COUNTIF(D2:D90,"☑")&amp;" / "&amp;COUNTA(A2:A90)</f>
        <v>0 / 89</v>
      </c>
    </row>
  </sheetData>
  <conditionalFormatting sqref="B2:B52">
    <cfRule type="expression" dxfId="56" priority="1">
      <formula>B2="A"</formula>
    </cfRule>
    <cfRule type="expression" dxfId="55" priority="2">
      <formula>B2="B"</formula>
    </cfRule>
    <cfRule type="expression" dxfId="54" priority="3">
      <formula>B2="C"</formula>
    </cfRule>
  </conditionalFormatting>
  <conditionalFormatting sqref="D2:D90">
    <cfRule type="expression" dxfId="53" priority="4">
      <formula>D2="☑"</formula>
    </cfRule>
  </conditionalFormatting>
  <dataValidations count="1">
    <dataValidation type="list" sqref="D2:D90" xr:uid="{00000000-0002-0000-1C00-000000000000}">
      <formula1>"☐,☑"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60"/>
  <sheetViews>
    <sheetView workbookViewId="0"/>
  </sheetViews>
  <sheetFormatPr defaultRowHeight="14.25"/>
  <cols>
    <col min="1" max="1" width="34" customWidth="1"/>
    <col min="2" max="2" width="10" customWidth="1"/>
    <col min="3" max="3" width="48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69" t="s">
        <v>598</v>
      </c>
      <c r="B1" s="69" t="s">
        <v>599</v>
      </c>
      <c r="C1" s="69" t="s">
        <v>13</v>
      </c>
      <c r="D1" s="69" t="s">
        <v>3</v>
      </c>
      <c r="E1" s="69" t="s">
        <v>600</v>
      </c>
      <c r="F1" s="69" t="s">
        <v>601</v>
      </c>
    </row>
    <row r="2" spans="1:6" ht="26.1" customHeight="1">
      <c r="A2" s="70" t="s">
        <v>2864</v>
      </c>
      <c r="B2" s="75" t="s">
        <v>619</v>
      </c>
      <c r="C2" s="70" t="s">
        <v>2290</v>
      </c>
      <c r="D2" s="71" t="s">
        <v>605</v>
      </c>
      <c r="E2" s="70" t="s">
        <v>620</v>
      </c>
      <c r="F2" s="70" t="s">
        <v>691</v>
      </c>
    </row>
    <row r="3" spans="1:6" ht="26.1" customHeight="1">
      <c r="A3" s="70" t="s">
        <v>2865</v>
      </c>
      <c r="B3" s="76" t="s">
        <v>603</v>
      </c>
      <c r="C3" s="70" t="s">
        <v>2866</v>
      </c>
      <c r="D3" s="71" t="s">
        <v>605</v>
      </c>
      <c r="E3" s="70" t="s">
        <v>2837</v>
      </c>
      <c r="F3" s="70" t="s">
        <v>2867</v>
      </c>
    </row>
    <row r="4" spans="1:6" ht="26.1" customHeight="1">
      <c r="A4" s="70" t="s">
        <v>2868</v>
      </c>
      <c r="B4" s="76" t="s">
        <v>603</v>
      </c>
      <c r="C4" s="70" t="s">
        <v>2869</v>
      </c>
      <c r="D4" s="71" t="s">
        <v>605</v>
      </c>
      <c r="E4" s="70" t="s">
        <v>606</v>
      </c>
      <c r="F4" s="70" t="s">
        <v>691</v>
      </c>
    </row>
    <row r="5" spans="1:6" ht="26.1" customHeight="1">
      <c r="A5" s="70" t="s">
        <v>346</v>
      </c>
      <c r="B5" s="77" t="s">
        <v>615</v>
      </c>
      <c r="C5" s="70" t="s">
        <v>2870</v>
      </c>
      <c r="D5" s="71" t="s">
        <v>605</v>
      </c>
      <c r="E5" s="70" t="s">
        <v>630</v>
      </c>
      <c r="F5" s="70" t="s">
        <v>1188</v>
      </c>
    </row>
    <row r="6" spans="1:6" ht="26.1" customHeight="1">
      <c r="A6" s="70" t="s">
        <v>2871</v>
      </c>
      <c r="B6" s="75" t="s">
        <v>619</v>
      </c>
      <c r="C6" s="70" t="s">
        <v>629</v>
      </c>
      <c r="D6" s="71" t="s">
        <v>605</v>
      </c>
      <c r="E6" s="70" t="s">
        <v>620</v>
      </c>
      <c r="F6" s="70" t="s">
        <v>607</v>
      </c>
    </row>
    <row r="7" spans="1:6" ht="26.1" customHeight="1">
      <c r="A7" s="70" t="s">
        <v>2872</v>
      </c>
      <c r="B7" s="76" t="s">
        <v>603</v>
      </c>
      <c r="C7" s="70" t="s">
        <v>2873</v>
      </c>
      <c r="D7" s="71" t="s">
        <v>605</v>
      </c>
      <c r="E7" s="70" t="s">
        <v>610</v>
      </c>
      <c r="F7" s="70" t="s">
        <v>1434</v>
      </c>
    </row>
    <row r="8" spans="1:6" ht="26.1" customHeight="1">
      <c r="A8" s="70" t="s">
        <v>2874</v>
      </c>
      <c r="B8" s="76" t="s">
        <v>603</v>
      </c>
      <c r="C8" s="70" t="s">
        <v>2875</v>
      </c>
      <c r="D8" s="71" t="s">
        <v>605</v>
      </c>
      <c r="E8" s="70" t="s">
        <v>606</v>
      </c>
      <c r="F8" s="70" t="s">
        <v>691</v>
      </c>
    </row>
    <row r="9" spans="1:6" ht="26.1" customHeight="1">
      <c r="A9" s="70" t="s">
        <v>2876</v>
      </c>
      <c r="B9" s="77" t="s">
        <v>615</v>
      </c>
      <c r="C9" s="70" t="s">
        <v>2877</v>
      </c>
      <c r="D9" s="71" t="s">
        <v>605</v>
      </c>
      <c r="E9" s="70" t="s">
        <v>2878</v>
      </c>
      <c r="F9" s="70" t="s">
        <v>2879</v>
      </c>
    </row>
    <row r="10" spans="1:6" ht="26.1" customHeight="1">
      <c r="A10" s="70" t="s">
        <v>2880</v>
      </c>
      <c r="B10" s="76" t="s">
        <v>603</v>
      </c>
      <c r="C10" s="70" t="s">
        <v>650</v>
      </c>
      <c r="D10" s="71" t="s">
        <v>605</v>
      </c>
      <c r="E10" s="70" t="s">
        <v>688</v>
      </c>
      <c r="F10" s="70" t="s">
        <v>607</v>
      </c>
    </row>
    <row r="11" spans="1:6" ht="26.1" customHeight="1">
      <c r="A11" s="70" t="s">
        <v>2881</v>
      </c>
      <c r="B11" s="76" t="s">
        <v>603</v>
      </c>
      <c r="C11" s="70" t="s">
        <v>2882</v>
      </c>
      <c r="D11" s="71" t="s">
        <v>605</v>
      </c>
      <c r="E11" s="70" t="s">
        <v>2709</v>
      </c>
      <c r="F11" s="70" t="s">
        <v>2883</v>
      </c>
    </row>
    <row r="12" spans="1:6" ht="26.1" customHeight="1">
      <c r="A12" s="70" t="s">
        <v>2884</v>
      </c>
      <c r="B12" s="76" t="s">
        <v>603</v>
      </c>
      <c r="C12" s="70" t="s">
        <v>2885</v>
      </c>
      <c r="D12" s="71" t="s">
        <v>605</v>
      </c>
      <c r="E12" s="70" t="s">
        <v>610</v>
      </c>
      <c r="F12" s="70" t="s">
        <v>691</v>
      </c>
    </row>
    <row r="13" spans="1:6" ht="26.1" customHeight="1">
      <c r="A13" s="70" t="s">
        <v>2886</v>
      </c>
      <c r="B13" s="76" t="s">
        <v>603</v>
      </c>
      <c r="C13" s="70" t="s">
        <v>2887</v>
      </c>
      <c r="D13" s="71" t="s">
        <v>605</v>
      </c>
      <c r="E13" s="70" t="s">
        <v>606</v>
      </c>
      <c r="F13" s="70" t="s">
        <v>2888</v>
      </c>
    </row>
    <row r="14" spans="1:6" ht="26.1" customHeight="1">
      <c r="A14" s="70" t="s">
        <v>2889</v>
      </c>
      <c r="B14" s="76" t="s">
        <v>603</v>
      </c>
      <c r="C14" s="70" t="s">
        <v>626</v>
      </c>
      <c r="D14" s="71" t="s">
        <v>605</v>
      </c>
      <c r="E14" s="70" t="s">
        <v>911</v>
      </c>
      <c r="F14" s="70" t="s">
        <v>2890</v>
      </c>
    </row>
    <row r="15" spans="1:6" ht="26.1" customHeight="1">
      <c r="A15" s="70" t="s">
        <v>2891</v>
      </c>
      <c r="B15" s="76" t="s">
        <v>603</v>
      </c>
      <c r="C15" s="70" t="s">
        <v>1802</v>
      </c>
      <c r="D15" s="71" t="s">
        <v>605</v>
      </c>
      <c r="E15" s="70" t="s">
        <v>606</v>
      </c>
      <c r="F15" s="70" t="s">
        <v>607</v>
      </c>
    </row>
    <row r="16" spans="1:6" ht="26.1" customHeight="1">
      <c r="A16" s="70" t="s">
        <v>2892</v>
      </c>
      <c r="B16" s="76" t="s">
        <v>603</v>
      </c>
      <c r="C16" s="70" t="s">
        <v>2893</v>
      </c>
      <c r="D16" s="71" t="s">
        <v>605</v>
      </c>
      <c r="E16" s="70" t="s">
        <v>606</v>
      </c>
      <c r="F16" s="70" t="s">
        <v>691</v>
      </c>
    </row>
    <row r="17" spans="1:6" ht="26.1" customHeight="1">
      <c r="A17" s="70" t="s">
        <v>2894</v>
      </c>
      <c r="B17" s="76" t="s">
        <v>603</v>
      </c>
      <c r="C17" s="70" t="s">
        <v>2895</v>
      </c>
      <c r="D17" s="71" t="s">
        <v>605</v>
      </c>
      <c r="E17" s="70" t="s">
        <v>683</v>
      </c>
      <c r="F17" s="70" t="s">
        <v>607</v>
      </c>
    </row>
    <row r="18" spans="1:6" ht="26.1" customHeight="1">
      <c r="A18" s="70" t="s">
        <v>2896</v>
      </c>
      <c r="B18" s="76" t="s">
        <v>603</v>
      </c>
      <c r="C18" s="70" t="s">
        <v>626</v>
      </c>
      <c r="D18" s="71" t="s">
        <v>605</v>
      </c>
      <c r="E18" s="70" t="s">
        <v>683</v>
      </c>
      <c r="F18" s="70" t="s">
        <v>607</v>
      </c>
    </row>
    <row r="19" spans="1:6" ht="26.1" customHeight="1">
      <c r="A19" s="70" t="s">
        <v>2897</v>
      </c>
      <c r="B19" s="76" t="s">
        <v>603</v>
      </c>
      <c r="C19" s="70" t="s">
        <v>2898</v>
      </c>
      <c r="D19" s="71" t="s">
        <v>605</v>
      </c>
      <c r="E19" s="70" t="s">
        <v>2661</v>
      </c>
      <c r="F19" s="70" t="s">
        <v>2899</v>
      </c>
    </row>
    <row r="20" spans="1:6" ht="26.1" customHeight="1">
      <c r="A20" s="70" t="s">
        <v>2900</v>
      </c>
      <c r="B20" s="76" t="s">
        <v>603</v>
      </c>
      <c r="C20" s="70" t="s">
        <v>2901</v>
      </c>
      <c r="D20" s="71" t="s">
        <v>605</v>
      </c>
      <c r="E20" s="70" t="s">
        <v>606</v>
      </c>
      <c r="F20" s="70" t="s">
        <v>607</v>
      </c>
    </row>
    <row r="21" spans="1:6" ht="26.1" customHeight="1">
      <c r="A21" s="70" t="s">
        <v>2902</v>
      </c>
      <c r="B21" s="76" t="s">
        <v>603</v>
      </c>
      <c r="C21" s="72" t="s">
        <v>2903</v>
      </c>
      <c r="D21" s="73" t="s">
        <v>605</v>
      </c>
      <c r="E21" s="70" t="s">
        <v>610</v>
      </c>
      <c r="F21" s="70" t="s">
        <v>1021</v>
      </c>
    </row>
    <row r="22" spans="1:6" ht="26.1" customHeight="1">
      <c r="A22" s="70" t="s">
        <v>2904</v>
      </c>
      <c r="B22" s="76" t="s">
        <v>603</v>
      </c>
      <c r="C22" s="72" t="s">
        <v>2905</v>
      </c>
      <c r="D22" s="73" t="s">
        <v>605</v>
      </c>
      <c r="E22" s="70" t="s">
        <v>610</v>
      </c>
      <c r="F22" s="70" t="s">
        <v>607</v>
      </c>
    </row>
    <row r="23" spans="1:6" ht="26.1" customHeight="1">
      <c r="A23" s="70" t="s">
        <v>2906</v>
      </c>
      <c r="B23" s="76" t="s">
        <v>603</v>
      </c>
      <c r="C23" s="72" t="s">
        <v>2907</v>
      </c>
      <c r="D23" s="73" t="s">
        <v>605</v>
      </c>
      <c r="E23" s="70" t="s">
        <v>610</v>
      </c>
      <c r="F23" s="70" t="s">
        <v>691</v>
      </c>
    </row>
    <row r="24" spans="1:6" ht="26.1" customHeight="1">
      <c r="A24" s="70" t="s">
        <v>2908</v>
      </c>
      <c r="B24" s="76" t="s">
        <v>603</v>
      </c>
      <c r="C24" s="72" t="s">
        <v>2909</v>
      </c>
      <c r="D24" s="73" t="s">
        <v>605</v>
      </c>
      <c r="E24" s="70" t="s">
        <v>610</v>
      </c>
      <c r="F24" s="70" t="s">
        <v>870</v>
      </c>
    </row>
    <row r="25" spans="1:6" ht="26.1" customHeight="1">
      <c r="A25" s="70" t="s">
        <v>2910</v>
      </c>
      <c r="B25" s="76" t="s">
        <v>603</v>
      </c>
      <c r="C25" s="72" t="s">
        <v>2911</v>
      </c>
      <c r="D25" s="73" t="s">
        <v>605</v>
      </c>
      <c r="E25" s="70" t="s">
        <v>2912</v>
      </c>
      <c r="F25" s="70" t="s">
        <v>2913</v>
      </c>
    </row>
    <row r="26" spans="1:6" ht="26.1" customHeight="1">
      <c r="A26" s="70" t="s">
        <v>61</v>
      </c>
      <c r="B26" s="76" t="s">
        <v>603</v>
      </c>
      <c r="C26" s="72" t="s">
        <v>2914</v>
      </c>
      <c r="D26" s="73" t="s">
        <v>605</v>
      </c>
      <c r="E26" s="70" t="s">
        <v>610</v>
      </c>
      <c r="F26" s="70" t="s">
        <v>691</v>
      </c>
    </row>
    <row r="27" spans="1:6" ht="26.1" customHeight="1">
      <c r="A27" s="70" t="s">
        <v>2915</v>
      </c>
      <c r="B27" s="76" t="s">
        <v>603</v>
      </c>
      <c r="C27" s="72" t="s">
        <v>2916</v>
      </c>
      <c r="D27" s="73" t="s">
        <v>605</v>
      </c>
      <c r="E27" s="70" t="s">
        <v>610</v>
      </c>
      <c r="F27" s="70" t="s">
        <v>1021</v>
      </c>
    </row>
    <row r="28" spans="1:6" ht="26.1" customHeight="1">
      <c r="A28" s="70" t="s">
        <v>2917</v>
      </c>
      <c r="B28" s="75" t="s">
        <v>619</v>
      </c>
      <c r="C28" s="72" t="s">
        <v>843</v>
      </c>
      <c r="D28" s="73" t="s">
        <v>605</v>
      </c>
      <c r="E28" s="70" t="s">
        <v>620</v>
      </c>
      <c r="F28" s="70" t="s">
        <v>1385</v>
      </c>
    </row>
    <row r="29" spans="1:6" ht="26.1" customHeight="1">
      <c r="A29" s="70" t="s">
        <v>2785</v>
      </c>
      <c r="B29" s="76" t="s">
        <v>603</v>
      </c>
      <c r="C29" s="72" t="s">
        <v>626</v>
      </c>
      <c r="D29" s="73" t="s">
        <v>605</v>
      </c>
      <c r="E29" s="70" t="s">
        <v>683</v>
      </c>
      <c r="F29" s="70" t="s">
        <v>607</v>
      </c>
    </row>
    <row r="30" spans="1:6" ht="26.1" customHeight="1">
      <c r="A30" s="70" t="s">
        <v>2918</v>
      </c>
      <c r="B30" s="76" t="s">
        <v>603</v>
      </c>
      <c r="C30" s="72" t="s">
        <v>2919</v>
      </c>
      <c r="D30" s="73" t="s">
        <v>605</v>
      </c>
      <c r="E30" s="70" t="s">
        <v>2920</v>
      </c>
      <c r="F30" s="70" t="s">
        <v>2921</v>
      </c>
    </row>
    <row r="31" spans="1:6" ht="26.1" customHeight="1">
      <c r="A31" s="70" t="s">
        <v>162</v>
      </c>
      <c r="B31" s="76" t="s">
        <v>603</v>
      </c>
      <c r="C31" s="72" t="s">
        <v>2922</v>
      </c>
      <c r="D31" s="73" t="s">
        <v>605</v>
      </c>
      <c r="E31" s="70" t="s">
        <v>610</v>
      </c>
      <c r="F31" s="70" t="s">
        <v>1627</v>
      </c>
    </row>
    <row r="32" spans="1:6" ht="26.1" customHeight="1">
      <c r="A32" s="70" t="s">
        <v>2923</v>
      </c>
      <c r="B32" s="76" t="s">
        <v>603</v>
      </c>
      <c r="C32" s="72" t="s">
        <v>2924</v>
      </c>
      <c r="D32" s="73" t="s">
        <v>605</v>
      </c>
      <c r="E32" s="70" t="s">
        <v>610</v>
      </c>
      <c r="F32" s="70" t="s">
        <v>691</v>
      </c>
    </row>
    <row r="33" spans="1:6" ht="26.1" customHeight="1">
      <c r="A33" s="70" t="s">
        <v>2925</v>
      </c>
      <c r="B33" s="76" t="s">
        <v>603</v>
      </c>
      <c r="C33" s="72" t="s">
        <v>2926</v>
      </c>
      <c r="D33" s="73" t="s">
        <v>605</v>
      </c>
      <c r="E33" s="70" t="s">
        <v>2927</v>
      </c>
      <c r="F33" s="70" t="s">
        <v>2928</v>
      </c>
    </row>
    <row r="34" spans="1:6" ht="26.1" customHeight="1">
      <c r="A34" s="70" t="s">
        <v>2929</v>
      </c>
      <c r="B34" s="76" t="s">
        <v>603</v>
      </c>
      <c r="C34" s="72" t="s">
        <v>2930</v>
      </c>
      <c r="D34" s="73" t="s">
        <v>605</v>
      </c>
      <c r="E34" s="70" t="s">
        <v>606</v>
      </c>
      <c r="F34" s="70" t="s">
        <v>691</v>
      </c>
    </row>
    <row r="35" spans="1:6" ht="26.1" customHeight="1">
      <c r="A35" s="70" t="s">
        <v>2496</v>
      </c>
      <c r="B35" s="76" t="s">
        <v>603</v>
      </c>
      <c r="C35" s="72" t="s">
        <v>63</v>
      </c>
      <c r="D35" s="73" t="s">
        <v>605</v>
      </c>
      <c r="E35" s="70" t="s">
        <v>610</v>
      </c>
      <c r="F35" s="70" t="s">
        <v>607</v>
      </c>
    </row>
    <row r="36" spans="1:6" ht="26.1" customHeight="1">
      <c r="A36" s="70" t="s">
        <v>2931</v>
      </c>
      <c r="B36" s="76" t="s">
        <v>603</v>
      </c>
      <c r="C36" s="72" t="s">
        <v>2932</v>
      </c>
      <c r="D36" s="73" t="s">
        <v>605</v>
      </c>
      <c r="E36" s="70" t="s">
        <v>2933</v>
      </c>
      <c r="F36" s="70" t="s">
        <v>691</v>
      </c>
    </row>
    <row r="37" spans="1:6" ht="26.1" customHeight="1">
      <c r="A37" s="70" t="s">
        <v>2934</v>
      </c>
      <c r="B37" s="76" t="s">
        <v>603</v>
      </c>
      <c r="C37" s="72" t="s">
        <v>2935</v>
      </c>
      <c r="D37" s="73" t="s">
        <v>605</v>
      </c>
      <c r="E37" s="70" t="s">
        <v>610</v>
      </c>
      <c r="F37" s="70" t="s">
        <v>607</v>
      </c>
    </row>
    <row r="38" spans="1:6" ht="26.1" customHeight="1">
      <c r="A38" s="70" t="s">
        <v>135</v>
      </c>
      <c r="B38" s="76" t="s">
        <v>603</v>
      </c>
      <c r="C38" s="72" t="s">
        <v>2936</v>
      </c>
      <c r="D38" s="73" t="s">
        <v>605</v>
      </c>
      <c r="E38" s="70" t="s">
        <v>606</v>
      </c>
      <c r="F38" s="70" t="s">
        <v>1627</v>
      </c>
    </row>
    <row r="39" spans="1:6" ht="26.1" customHeight="1">
      <c r="A39" s="70" t="s">
        <v>2937</v>
      </c>
      <c r="B39" s="76" t="s">
        <v>603</v>
      </c>
      <c r="C39" s="72" t="s">
        <v>2938</v>
      </c>
      <c r="D39" s="73" t="s">
        <v>605</v>
      </c>
      <c r="E39" s="70" t="s">
        <v>2661</v>
      </c>
      <c r="F39" s="70" t="s">
        <v>870</v>
      </c>
    </row>
    <row r="40" spans="1:6" ht="26.1" customHeight="1">
      <c r="A40" s="70" t="s">
        <v>2939</v>
      </c>
      <c r="B40" s="76" t="s">
        <v>603</v>
      </c>
      <c r="C40" s="72" t="s">
        <v>612</v>
      </c>
      <c r="D40" s="73" t="s">
        <v>605</v>
      </c>
      <c r="E40" s="70" t="s">
        <v>606</v>
      </c>
      <c r="F40" s="70" t="s">
        <v>607</v>
      </c>
    </row>
    <row r="41" spans="1:6" ht="26.1" customHeight="1">
      <c r="A41" s="70" t="s">
        <v>2940</v>
      </c>
      <c r="B41" s="75" t="s">
        <v>619</v>
      </c>
      <c r="C41" s="72" t="s">
        <v>2342</v>
      </c>
      <c r="D41" s="73" t="s">
        <v>605</v>
      </c>
      <c r="E41" s="70" t="s">
        <v>620</v>
      </c>
      <c r="F41" s="70" t="s">
        <v>691</v>
      </c>
    </row>
    <row r="42" spans="1:6" ht="26.1" customHeight="1">
      <c r="A42" s="70" t="s">
        <v>568</v>
      </c>
      <c r="B42" s="75" t="s">
        <v>619</v>
      </c>
      <c r="C42" s="72" t="s">
        <v>2941</v>
      </c>
      <c r="D42" s="73" t="s">
        <v>605</v>
      </c>
      <c r="E42" s="70" t="s">
        <v>2942</v>
      </c>
      <c r="F42" s="70" t="s">
        <v>2416</v>
      </c>
    </row>
    <row r="43" spans="1:6" ht="26.1" customHeight="1">
      <c r="A43" s="70" t="s">
        <v>2943</v>
      </c>
      <c r="B43" s="76" t="s">
        <v>603</v>
      </c>
      <c r="C43" s="72" t="s">
        <v>2944</v>
      </c>
      <c r="D43" s="73" t="s">
        <v>605</v>
      </c>
      <c r="E43" s="70" t="s">
        <v>2945</v>
      </c>
      <c r="F43" s="70" t="s">
        <v>2946</v>
      </c>
    </row>
    <row r="44" spans="1:6" ht="26.1" customHeight="1">
      <c r="A44" s="70" t="s">
        <v>2947</v>
      </c>
      <c r="B44" s="76" t="s">
        <v>603</v>
      </c>
      <c r="C44" s="70" t="s">
        <v>2948</v>
      </c>
      <c r="D44" s="71" t="s">
        <v>605</v>
      </c>
      <c r="E44" s="70" t="s">
        <v>610</v>
      </c>
      <c r="F44" s="70" t="s">
        <v>607</v>
      </c>
    </row>
    <row r="45" spans="1:6" ht="26.1" customHeight="1">
      <c r="A45" s="70" t="s">
        <v>2949</v>
      </c>
      <c r="B45" s="76" t="s">
        <v>603</v>
      </c>
      <c r="C45" s="70" t="s">
        <v>2950</v>
      </c>
      <c r="D45" s="71" t="s">
        <v>605</v>
      </c>
      <c r="E45" s="70" t="s">
        <v>610</v>
      </c>
      <c r="F45" s="70" t="s">
        <v>1434</v>
      </c>
    </row>
    <row r="46" spans="1:6" ht="26.1" customHeight="1">
      <c r="A46" s="70" t="s">
        <v>2951</v>
      </c>
      <c r="B46" s="76" t="s">
        <v>603</v>
      </c>
      <c r="C46" s="70" t="s">
        <v>650</v>
      </c>
      <c r="D46" s="71" t="s">
        <v>605</v>
      </c>
      <c r="E46" s="70" t="s">
        <v>688</v>
      </c>
      <c r="F46" s="70" t="s">
        <v>607</v>
      </c>
    </row>
    <row r="47" spans="1:6" ht="26.1" customHeight="1">
      <c r="A47" s="70" t="s">
        <v>2952</v>
      </c>
      <c r="B47" s="76" t="s">
        <v>603</v>
      </c>
      <c r="C47" s="70" t="s">
        <v>2953</v>
      </c>
      <c r="D47" s="71" t="s">
        <v>605</v>
      </c>
      <c r="E47" s="70" t="s">
        <v>610</v>
      </c>
      <c r="F47" s="70" t="s">
        <v>607</v>
      </c>
    </row>
    <row r="48" spans="1:6" ht="26.1" customHeight="1">
      <c r="A48" s="70" t="s">
        <v>2954</v>
      </c>
      <c r="B48" s="76" t="s">
        <v>603</v>
      </c>
      <c r="C48" s="70" t="s">
        <v>2955</v>
      </c>
      <c r="D48" s="71" t="s">
        <v>605</v>
      </c>
      <c r="E48" s="70" t="s">
        <v>610</v>
      </c>
      <c r="F48" s="70" t="s">
        <v>691</v>
      </c>
    </row>
    <row r="49" spans="1:6" ht="26.1" customHeight="1">
      <c r="A49" s="70" t="s">
        <v>2956</v>
      </c>
      <c r="B49" s="76" t="s">
        <v>603</v>
      </c>
      <c r="C49" s="74" t="s">
        <v>2957</v>
      </c>
      <c r="D49" s="71" t="s">
        <v>605</v>
      </c>
      <c r="E49" s="70" t="s">
        <v>606</v>
      </c>
      <c r="F49" s="70" t="s">
        <v>691</v>
      </c>
    </row>
    <row r="50" spans="1:6" ht="26.1" customHeight="1">
      <c r="A50" s="70" t="s">
        <v>2958</v>
      </c>
      <c r="B50" s="76" t="s">
        <v>603</v>
      </c>
      <c r="C50" s="74" t="s">
        <v>2959</v>
      </c>
      <c r="D50" s="71" t="s">
        <v>605</v>
      </c>
      <c r="E50" s="70" t="s">
        <v>606</v>
      </c>
      <c r="F50" s="70" t="s">
        <v>1627</v>
      </c>
    </row>
    <row r="51" spans="1:6" ht="26.1" customHeight="1">
      <c r="A51" s="70" t="s">
        <v>2960</v>
      </c>
      <c r="B51" s="76" t="s">
        <v>603</v>
      </c>
      <c r="C51" s="74" t="s">
        <v>2961</v>
      </c>
      <c r="D51" s="71" t="s">
        <v>605</v>
      </c>
      <c r="E51" s="70" t="s">
        <v>606</v>
      </c>
      <c r="F51" s="70" t="s">
        <v>870</v>
      </c>
    </row>
    <row r="52" spans="1:6" ht="26.1" customHeight="1">
      <c r="A52" s="70" t="s">
        <v>2962</v>
      </c>
      <c r="B52" s="77" t="s">
        <v>615</v>
      </c>
      <c r="C52" s="70" t="s">
        <v>2963</v>
      </c>
      <c r="D52" s="71" t="s">
        <v>605</v>
      </c>
      <c r="E52" s="70" t="s">
        <v>825</v>
      </c>
      <c r="F52" s="70" t="s">
        <v>637</v>
      </c>
    </row>
    <row r="53" spans="1:6" ht="26.1" customHeight="1">
      <c r="A53" s="70" t="s">
        <v>2964</v>
      </c>
      <c r="B53" s="76" t="s">
        <v>603</v>
      </c>
      <c r="C53" s="74" t="s">
        <v>629</v>
      </c>
      <c r="D53" s="71" t="s">
        <v>605</v>
      </c>
      <c r="E53" s="70" t="s">
        <v>610</v>
      </c>
      <c r="F53" s="70" t="s">
        <v>607</v>
      </c>
    </row>
    <row r="54" spans="1:6" ht="26.1" customHeight="1">
      <c r="A54" s="70" t="s">
        <v>2965</v>
      </c>
      <c r="B54" s="76" t="s">
        <v>603</v>
      </c>
      <c r="C54" s="70" t="s">
        <v>2966</v>
      </c>
      <c r="D54" s="71" t="s">
        <v>605</v>
      </c>
      <c r="E54" s="70" t="s">
        <v>610</v>
      </c>
      <c r="F54" s="70" t="s">
        <v>2333</v>
      </c>
    </row>
    <row r="55" spans="1:6" ht="26.1" customHeight="1">
      <c r="A55" s="70" t="s">
        <v>2967</v>
      </c>
      <c r="B55" s="75" t="s">
        <v>619</v>
      </c>
      <c r="C55" s="70" t="s">
        <v>2968</v>
      </c>
      <c r="D55" s="71" t="s">
        <v>605</v>
      </c>
      <c r="E55" s="70" t="s">
        <v>620</v>
      </c>
      <c r="F55" s="70" t="s">
        <v>691</v>
      </c>
    </row>
    <row r="56" spans="1:6" ht="26.1" customHeight="1">
      <c r="A56" s="70" t="s">
        <v>2969</v>
      </c>
      <c r="B56" s="75" t="s">
        <v>619</v>
      </c>
      <c r="C56" s="70" t="s">
        <v>2792</v>
      </c>
      <c r="D56" s="71" t="s">
        <v>605</v>
      </c>
      <c r="E56" s="70" t="s">
        <v>620</v>
      </c>
      <c r="F56" s="70" t="s">
        <v>691</v>
      </c>
    </row>
    <row r="57" spans="1:6" ht="26.1" customHeight="1">
      <c r="A57" s="70" t="s">
        <v>2970</v>
      </c>
      <c r="B57" s="76" t="s">
        <v>603</v>
      </c>
      <c r="C57" s="70" t="s">
        <v>829</v>
      </c>
      <c r="D57" s="71" t="s">
        <v>605</v>
      </c>
      <c r="E57" s="70" t="s">
        <v>610</v>
      </c>
      <c r="F57" s="70" t="s">
        <v>607</v>
      </c>
    </row>
    <row r="58" spans="1:6" ht="26.1" customHeight="1">
      <c r="A58" s="70" t="s">
        <v>2971</v>
      </c>
      <c r="B58" s="76" t="s">
        <v>603</v>
      </c>
      <c r="C58" s="74" t="s">
        <v>2972</v>
      </c>
      <c r="D58" s="71" t="s">
        <v>605</v>
      </c>
      <c r="E58" s="70" t="s">
        <v>610</v>
      </c>
      <c r="F58" s="70" t="s">
        <v>870</v>
      </c>
    </row>
    <row r="59" spans="1:6" ht="15">
      <c r="C59" s="63"/>
      <c r="D59" s="63"/>
    </row>
    <row r="60" spans="1:6" ht="15">
      <c r="C60" s="78" t="s">
        <v>633</v>
      </c>
      <c r="D60" s="79" t="str">
        <f>COUNTIF(D2:D58,"☑")&amp;" / "&amp;COUNTA(A2:A58)</f>
        <v>0 / 57</v>
      </c>
    </row>
  </sheetData>
  <conditionalFormatting sqref="B2:B19">
    <cfRule type="expression" dxfId="52" priority="1">
      <formula>B2="A"</formula>
    </cfRule>
    <cfRule type="expression" dxfId="51" priority="2">
      <formula>B2="B"</formula>
    </cfRule>
    <cfRule type="expression" dxfId="50" priority="3">
      <formula>B2="C"</formula>
    </cfRule>
  </conditionalFormatting>
  <conditionalFormatting sqref="D2:D58">
    <cfRule type="expression" dxfId="49" priority="4">
      <formula>D2="☑"</formula>
    </cfRule>
  </conditionalFormatting>
  <dataValidations count="1">
    <dataValidation type="list" sqref="D2:D58" xr:uid="{00000000-0002-0000-1D00-000000000000}">
      <formula1>"☐,☑"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51"/>
  <sheetViews>
    <sheetView workbookViewId="0"/>
  </sheetViews>
  <sheetFormatPr defaultRowHeight="14.25"/>
  <cols>
    <col min="1" max="1" width="34" customWidth="1"/>
    <col min="2" max="2" width="10" customWidth="1"/>
    <col min="3" max="3" width="44" customWidth="1"/>
    <col min="4" max="4" width="12" customWidth="1"/>
    <col min="5" max="5" width="42" customWidth="1"/>
    <col min="6" max="6" width="58" customWidth="1"/>
  </cols>
  <sheetData>
    <row r="1" spans="1:6" ht="21.95" customHeight="1">
      <c r="A1" s="57" t="s">
        <v>598</v>
      </c>
      <c r="B1" s="57" t="s">
        <v>599</v>
      </c>
      <c r="C1" s="57" t="s">
        <v>13</v>
      </c>
      <c r="D1" s="57" t="s">
        <v>3</v>
      </c>
      <c r="E1" s="57" t="s">
        <v>600</v>
      </c>
      <c r="F1" s="57" t="s">
        <v>601</v>
      </c>
    </row>
    <row r="2" spans="1:6" ht="26.1" customHeight="1">
      <c r="A2" s="58" t="s">
        <v>2973</v>
      </c>
      <c r="B2" s="60" t="s">
        <v>603</v>
      </c>
      <c r="C2" s="58" t="s">
        <v>2974</v>
      </c>
      <c r="D2" s="59" t="s">
        <v>605</v>
      </c>
      <c r="E2" s="58" t="s">
        <v>2975</v>
      </c>
      <c r="F2" s="58" t="s">
        <v>607</v>
      </c>
    </row>
    <row r="3" spans="1:6" ht="26.1" customHeight="1">
      <c r="A3" s="58" t="s">
        <v>2976</v>
      </c>
      <c r="B3" s="60" t="s">
        <v>603</v>
      </c>
      <c r="C3" s="58" t="s">
        <v>2418</v>
      </c>
      <c r="D3" s="59" t="s">
        <v>605</v>
      </c>
      <c r="E3" s="58" t="s">
        <v>606</v>
      </c>
      <c r="F3" s="58" t="s">
        <v>691</v>
      </c>
    </row>
    <row r="4" spans="1:6" ht="26.1" customHeight="1">
      <c r="A4" s="58" t="s">
        <v>2977</v>
      </c>
      <c r="B4" s="60" t="s">
        <v>603</v>
      </c>
      <c r="C4" s="58" t="s">
        <v>650</v>
      </c>
      <c r="D4" s="59" t="s">
        <v>605</v>
      </c>
      <c r="E4" s="58" t="s">
        <v>2978</v>
      </c>
      <c r="F4" s="58" t="s">
        <v>607</v>
      </c>
    </row>
    <row r="5" spans="1:6" ht="26.1" customHeight="1">
      <c r="A5" s="58" t="s">
        <v>240</v>
      </c>
      <c r="B5" s="60" t="s">
        <v>603</v>
      </c>
      <c r="C5" s="58" t="s">
        <v>2979</v>
      </c>
      <c r="D5" s="59" t="s">
        <v>605</v>
      </c>
      <c r="E5" s="58" t="s">
        <v>610</v>
      </c>
      <c r="F5" s="58" t="s">
        <v>2980</v>
      </c>
    </row>
    <row r="6" spans="1:6" ht="26.1" customHeight="1">
      <c r="A6" s="58" t="s">
        <v>2981</v>
      </c>
      <c r="B6" s="60" t="s">
        <v>603</v>
      </c>
      <c r="C6" s="58" t="s">
        <v>2982</v>
      </c>
      <c r="D6" s="59" t="s">
        <v>605</v>
      </c>
      <c r="E6" s="58" t="s">
        <v>2983</v>
      </c>
      <c r="F6" s="58" t="s">
        <v>2984</v>
      </c>
    </row>
    <row r="7" spans="1:6" ht="26.1" customHeight="1">
      <c r="A7" s="58" t="s">
        <v>2985</v>
      </c>
      <c r="B7" s="61" t="s">
        <v>619</v>
      </c>
      <c r="C7" s="58" t="s">
        <v>2986</v>
      </c>
      <c r="D7" s="59" t="s">
        <v>605</v>
      </c>
      <c r="E7" s="58" t="s">
        <v>1939</v>
      </c>
      <c r="F7" s="58" t="s">
        <v>2987</v>
      </c>
    </row>
    <row r="8" spans="1:6" ht="26.1" customHeight="1">
      <c r="A8" s="58" t="s">
        <v>2988</v>
      </c>
      <c r="B8" s="62" t="s">
        <v>615</v>
      </c>
      <c r="C8" s="58" t="s">
        <v>2989</v>
      </c>
      <c r="D8" s="59" t="s">
        <v>605</v>
      </c>
      <c r="E8" s="58" t="s">
        <v>617</v>
      </c>
      <c r="F8" s="58" t="s">
        <v>1385</v>
      </c>
    </row>
    <row r="9" spans="1:6" ht="26.1" customHeight="1">
      <c r="A9" s="58" t="s">
        <v>2990</v>
      </c>
      <c r="B9" s="60" t="s">
        <v>603</v>
      </c>
      <c r="C9" s="58" t="s">
        <v>2991</v>
      </c>
      <c r="D9" s="59" t="s">
        <v>605</v>
      </c>
      <c r="E9" s="58" t="s">
        <v>606</v>
      </c>
      <c r="F9" s="58" t="s">
        <v>691</v>
      </c>
    </row>
    <row r="10" spans="1:6" ht="26.1" customHeight="1">
      <c r="A10" s="58" t="s">
        <v>2992</v>
      </c>
      <c r="B10" s="60" t="s">
        <v>603</v>
      </c>
      <c r="C10" s="58" t="s">
        <v>863</v>
      </c>
      <c r="D10" s="59" t="s">
        <v>605</v>
      </c>
      <c r="E10" s="58" t="s">
        <v>610</v>
      </c>
      <c r="F10" s="58" t="s">
        <v>607</v>
      </c>
    </row>
    <row r="11" spans="1:6" ht="26.1" customHeight="1">
      <c r="A11" s="58" t="s">
        <v>2993</v>
      </c>
      <c r="B11" s="60" t="s">
        <v>603</v>
      </c>
      <c r="C11" s="58" t="s">
        <v>2994</v>
      </c>
      <c r="D11" s="59" t="s">
        <v>605</v>
      </c>
      <c r="E11" s="58" t="s">
        <v>610</v>
      </c>
      <c r="F11" s="58" t="s">
        <v>691</v>
      </c>
    </row>
    <row r="12" spans="1:6" ht="26.1" customHeight="1">
      <c r="A12" s="58" t="s">
        <v>2995</v>
      </c>
      <c r="B12" s="60" t="s">
        <v>603</v>
      </c>
      <c r="C12" s="58" t="s">
        <v>951</v>
      </c>
      <c r="D12" s="59" t="s">
        <v>605</v>
      </c>
      <c r="E12" s="58" t="s">
        <v>610</v>
      </c>
      <c r="F12" s="58" t="s">
        <v>607</v>
      </c>
    </row>
    <row r="13" spans="1:6" ht="26.1" customHeight="1">
      <c r="A13" s="58" t="s">
        <v>2996</v>
      </c>
      <c r="B13" s="61" t="s">
        <v>619</v>
      </c>
      <c r="C13" s="58" t="s">
        <v>2997</v>
      </c>
      <c r="D13" s="59" t="s">
        <v>605</v>
      </c>
      <c r="E13" s="58" t="s">
        <v>620</v>
      </c>
      <c r="F13" s="58" t="s">
        <v>691</v>
      </c>
    </row>
    <row r="14" spans="1:6" ht="26.1" customHeight="1">
      <c r="A14" s="58" t="s">
        <v>2998</v>
      </c>
      <c r="B14" s="60" t="s">
        <v>603</v>
      </c>
      <c r="C14" s="58" t="s">
        <v>2999</v>
      </c>
      <c r="D14" s="59" t="s">
        <v>605</v>
      </c>
      <c r="E14" s="58" t="s">
        <v>2661</v>
      </c>
      <c r="F14" s="58" t="s">
        <v>3000</v>
      </c>
    </row>
    <row r="15" spans="1:6" ht="26.1" customHeight="1">
      <c r="A15" s="58" t="s">
        <v>307</v>
      </c>
      <c r="B15" s="60" t="s">
        <v>603</v>
      </c>
      <c r="C15" s="58" t="s">
        <v>3001</v>
      </c>
      <c r="D15" s="59" t="s">
        <v>605</v>
      </c>
      <c r="E15" s="58" t="s">
        <v>610</v>
      </c>
      <c r="F15" s="58" t="s">
        <v>607</v>
      </c>
    </row>
    <row r="16" spans="1:6" ht="26.1" customHeight="1">
      <c r="A16" s="58" t="s">
        <v>3002</v>
      </c>
      <c r="B16" s="60" t="s">
        <v>603</v>
      </c>
      <c r="C16" s="58" t="s">
        <v>3003</v>
      </c>
      <c r="D16" s="59" t="s">
        <v>605</v>
      </c>
      <c r="E16" s="58" t="s">
        <v>606</v>
      </c>
      <c r="F16" s="58" t="s">
        <v>691</v>
      </c>
    </row>
    <row r="17" spans="1:6" ht="26.1" customHeight="1">
      <c r="A17" s="58" t="s">
        <v>223</v>
      </c>
      <c r="B17" s="60" t="s">
        <v>603</v>
      </c>
      <c r="C17" s="58" t="s">
        <v>3004</v>
      </c>
      <c r="D17" s="59" t="s">
        <v>605</v>
      </c>
      <c r="E17" s="58" t="s">
        <v>610</v>
      </c>
      <c r="F17" s="58" t="s">
        <v>3005</v>
      </c>
    </row>
    <row r="18" spans="1:6" ht="26.1" customHeight="1">
      <c r="A18" s="58" t="s">
        <v>3006</v>
      </c>
      <c r="B18" s="61" t="s">
        <v>619</v>
      </c>
      <c r="C18" s="58" t="s">
        <v>3007</v>
      </c>
      <c r="D18" s="59" t="s">
        <v>605</v>
      </c>
      <c r="E18" s="58" t="s">
        <v>620</v>
      </c>
      <c r="F18" s="58" t="s">
        <v>691</v>
      </c>
    </row>
    <row r="19" spans="1:6" ht="26.1" customHeight="1">
      <c r="A19" s="58" t="s">
        <v>3008</v>
      </c>
      <c r="B19" s="60" t="s">
        <v>603</v>
      </c>
      <c r="C19" s="58" t="s">
        <v>3009</v>
      </c>
      <c r="D19" s="59" t="s">
        <v>605</v>
      </c>
      <c r="E19" s="58" t="s">
        <v>610</v>
      </c>
      <c r="F19" s="58" t="s">
        <v>3010</v>
      </c>
    </row>
    <row r="20" spans="1:6" ht="26.1" customHeight="1">
      <c r="A20" s="58" t="s">
        <v>3011</v>
      </c>
      <c r="B20" s="60" t="s">
        <v>603</v>
      </c>
      <c r="C20" s="58" t="s">
        <v>1666</v>
      </c>
      <c r="D20" s="59" t="s">
        <v>605</v>
      </c>
      <c r="E20" s="58" t="s">
        <v>610</v>
      </c>
      <c r="F20" s="58" t="s">
        <v>607</v>
      </c>
    </row>
    <row r="21" spans="1:6" ht="26.1" customHeight="1">
      <c r="A21" s="58" t="s">
        <v>3012</v>
      </c>
      <c r="B21" s="62" t="s">
        <v>615</v>
      </c>
      <c r="C21" s="58" t="s">
        <v>3013</v>
      </c>
      <c r="D21" s="59" t="s">
        <v>605</v>
      </c>
      <c r="E21" s="58" t="s">
        <v>3014</v>
      </c>
      <c r="F21" s="58" t="s">
        <v>3015</v>
      </c>
    </row>
    <row r="22" spans="1:6" ht="26.1" customHeight="1">
      <c r="A22" s="58" t="s">
        <v>198</v>
      </c>
      <c r="B22" s="60" t="s">
        <v>603</v>
      </c>
      <c r="C22" s="64" t="s">
        <v>3016</v>
      </c>
      <c r="D22" s="65" t="s">
        <v>605</v>
      </c>
      <c r="E22" s="58" t="s">
        <v>911</v>
      </c>
      <c r="F22" s="58" t="s">
        <v>3017</v>
      </c>
    </row>
    <row r="23" spans="1:6" ht="26.1" customHeight="1">
      <c r="A23" s="58" t="s">
        <v>3018</v>
      </c>
      <c r="B23" s="60" t="s">
        <v>603</v>
      </c>
      <c r="C23" s="64" t="s">
        <v>650</v>
      </c>
      <c r="D23" s="65" t="s">
        <v>605</v>
      </c>
      <c r="E23" s="58" t="s">
        <v>688</v>
      </c>
      <c r="F23" s="58" t="s">
        <v>607</v>
      </c>
    </row>
    <row r="24" spans="1:6" ht="26.1" customHeight="1">
      <c r="A24" s="58" t="s">
        <v>3019</v>
      </c>
      <c r="B24" s="60" t="s">
        <v>603</v>
      </c>
      <c r="C24" s="64" t="s">
        <v>650</v>
      </c>
      <c r="D24" s="65" t="s">
        <v>605</v>
      </c>
      <c r="E24" s="58" t="s">
        <v>688</v>
      </c>
      <c r="F24" s="58" t="s">
        <v>607</v>
      </c>
    </row>
    <row r="25" spans="1:6" ht="26.1" customHeight="1">
      <c r="A25" s="58" t="s">
        <v>3020</v>
      </c>
      <c r="B25" s="60" t="s">
        <v>603</v>
      </c>
      <c r="C25" s="64" t="s">
        <v>3021</v>
      </c>
      <c r="D25" s="65" t="s">
        <v>605</v>
      </c>
      <c r="E25" s="58" t="s">
        <v>610</v>
      </c>
      <c r="F25" s="58" t="s">
        <v>691</v>
      </c>
    </row>
    <row r="26" spans="1:6" ht="26.1" customHeight="1">
      <c r="A26" s="58" t="s">
        <v>165</v>
      </c>
      <c r="B26" s="60" t="s">
        <v>603</v>
      </c>
      <c r="C26" s="64" t="s">
        <v>3022</v>
      </c>
      <c r="D26" s="65" t="s">
        <v>605</v>
      </c>
      <c r="E26" s="58" t="s">
        <v>610</v>
      </c>
      <c r="F26" s="58" t="s">
        <v>1627</v>
      </c>
    </row>
    <row r="27" spans="1:6" ht="26.1" customHeight="1">
      <c r="A27" s="58" t="s">
        <v>3023</v>
      </c>
      <c r="B27" s="61" t="s">
        <v>619</v>
      </c>
      <c r="C27" s="64" t="s">
        <v>2342</v>
      </c>
      <c r="D27" s="65" t="s">
        <v>605</v>
      </c>
      <c r="E27" s="58" t="s">
        <v>620</v>
      </c>
      <c r="F27" s="58" t="s">
        <v>691</v>
      </c>
    </row>
    <row r="28" spans="1:6" ht="26.1" customHeight="1">
      <c r="A28" s="58" t="s">
        <v>3024</v>
      </c>
      <c r="B28" s="60" t="s">
        <v>603</v>
      </c>
      <c r="C28" s="64" t="s">
        <v>650</v>
      </c>
      <c r="D28" s="65" t="s">
        <v>605</v>
      </c>
      <c r="E28" s="58" t="s">
        <v>3025</v>
      </c>
      <c r="F28" s="58" t="s">
        <v>607</v>
      </c>
    </row>
    <row r="29" spans="1:6" ht="26.1" customHeight="1">
      <c r="A29" s="58" t="s">
        <v>3026</v>
      </c>
      <c r="B29" s="60" t="s">
        <v>603</v>
      </c>
      <c r="C29" s="64" t="s">
        <v>629</v>
      </c>
      <c r="D29" s="65" t="s">
        <v>605</v>
      </c>
      <c r="E29" s="58" t="s">
        <v>610</v>
      </c>
      <c r="F29" s="58" t="s">
        <v>607</v>
      </c>
    </row>
    <row r="30" spans="1:6" ht="26.1" customHeight="1">
      <c r="A30" s="58" t="s">
        <v>3027</v>
      </c>
      <c r="B30" s="62" t="s">
        <v>615</v>
      </c>
      <c r="C30" s="64" t="s">
        <v>3028</v>
      </c>
      <c r="D30" s="65" t="s">
        <v>605</v>
      </c>
      <c r="E30" s="58" t="s">
        <v>915</v>
      </c>
      <c r="F30" s="58" t="s">
        <v>637</v>
      </c>
    </row>
    <row r="31" spans="1:6" ht="26.1" customHeight="1">
      <c r="A31" s="58" t="s">
        <v>3029</v>
      </c>
      <c r="B31" s="60" t="s">
        <v>603</v>
      </c>
      <c r="C31" s="64" t="s">
        <v>609</v>
      </c>
      <c r="D31" s="65" t="s">
        <v>605</v>
      </c>
      <c r="E31" s="58" t="s">
        <v>606</v>
      </c>
      <c r="F31" s="58" t="s">
        <v>607</v>
      </c>
    </row>
    <row r="32" spans="1:6" ht="26.1" customHeight="1">
      <c r="A32" s="58" t="s">
        <v>3030</v>
      </c>
      <c r="B32" s="60" t="s">
        <v>603</v>
      </c>
      <c r="C32" s="64" t="s">
        <v>2361</v>
      </c>
      <c r="D32" s="65" t="s">
        <v>605</v>
      </c>
      <c r="E32" s="58" t="s">
        <v>606</v>
      </c>
      <c r="F32" s="58" t="s">
        <v>607</v>
      </c>
    </row>
    <row r="33" spans="1:6" ht="26.1" customHeight="1">
      <c r="A33" s="58" t="s">
        <v>3031</v>
      </c>
      <c r="B33" s="61" t="s">
        <v>619</v>
      </c>
      <c r="C33" s="64" t="s">
        <v>3032</v>
      </c>
      <c r="D33" s="65" t="s">
        <v>605</v>
      </c>
      <c r="E33" s="58" t="s">
        <v>620</v>
      </c>
      <c r="F33" s="58" t="s">
        <v>691</v>
      </c>
    </row>
    <row r="34" spans="1:6" ht="26.1" customHeight="1">
      <c r="A34" s="58" t="s">
        <v>3033</v>
      </c>
      <c r="B34" s="60" t="s">
        <v>603</v>
      </c>
      <c r="C34" s="64" t="s">
        <v>3034</v>
      </c>
      <c r="D34" s="65" t="s">
        <v>605</v>
      </c>
      <c r="E34" s="58" t="s">
        <v>610</v>
      </c>
      <c r="F34" s="58" t="s">
        <v>607</v>
      </c>
    </row>
    <row r="35" spans="1:6" ht="26.1" customHeight="1">
      <c r="A35" s="58" t="s">
        <v>3035</v>
      </c>
      <c r="B35" s="60" t="s">
        <v>603</v>
      </c>
      <c r="C35" s="64" t="s">
        <v>3036</v>
      </c>
      <c r="D35" s="65" t="s">
        <v>605</v>
      </c>
      <c r="E35" s="58" t="s">
        <v>610</v>
      </c>
      <c r="F35" s="58" t="s">
        <v>1577</v>
      </c>
    </row>
    <row r="36" spans="1:6" ht="26.1" customHeight="1">
      <c r="A36" s="58" t="s">
        <v>59</v>
      </c>
      <c r="B36" s="60" t="s">
        <v>603</v>
      </c>
      <c r="C36" s="64" t="s">
        <v>3037</v>
      </c>
      <c r="D36" s="65" t="s">
        <v>605</v>
      </c>
      <c r="E36" s="58" t="s">
        <v>610</v>
      </c>
      <c r="F36" s="58" t="s">
        <v>691</v>
      </c>
    </row>
    <row r="37" spans="1:6" ht="26.1" customHeight="1">
      <c r="A37" s="58" t="s">
        <v>3038</v>
      </c>
      <c r="B37" s="60" t="s">
        <v>603</v>
      </c>
      <c r="C37" s="64" t="s">
        <v>3039</v>
      </c>
      <c r="D37" s="65" t="s">
        <v>605</v>
      </c>
      <c r="E37" s="58" t="s">
        <v>610</v>
      </c>
      <c r="F37" s="58" t="s">
        <v>607</v>
      </c>
    </row>
    <row r="38" spans="1:6" ht="26.1" customHeight="1">
      <c r="A38" s="58" t="s">
        <v>3040</v>
      </c>
      <c r="B38" s="60" t="s">
        <v>603</v>
      </c>
      <c r="C38" s="64" t="s">
        <v>3041</v>
      </c>
      <c r="D38" s="65" t="s">
        <v>605</v>
      </c>
      <c r="E38" s="58" t="s">
        <v>610</v>
      </c>
      <c r="F38" s="58" t="s">
        <v>691</v>
      </c>
    </row>
    <row r="39" spans="1:6" ht="26.1" customHeight="1">
      <c r="A39" s="58" t="s">
        <v>3042</v>
      </c>
      <c r="B39" s="60" t="s">
        <v>603</v>
      </c>
      <c r="C39" s="64" t="s">
        <v>3043</v>
      </c>
      <c r="D39" s="65" t="s">
        <v>605</v>
      </c>
      <c r="E39" s="58" t="s">
        <v>610</v>
      </c>
      <c r="F39" s="58" t="s">
        <v>870</v>
      </c>
    </row>
    <row r="40" spans="1:6" ht="26.1" customHeight="1">
      <c r="A40" s="58" t="s">
        <v>3044</v>
      </c>
      <c r="B40" s="60" t="s">
        <v>603</v>
      </c>
      <c r="C40" s="64" t="s">
        <v>3045</v>
      </c>
      <c r="D40" s="65" t="s">
        <v>605</v>
      </c>
      <c r="E40" s="58" t="s">
        <v>610</v>
      </c>
      <c r="F40" s="58" t="s">
        <v>870</v>
      </c>
    </row>
    <row r="41" spans="1:6" ht="26.1" customHeight="1">
      <c r="A41" s="58" t="s">
        <v>3046</v>
      </c>
      <c r="B41" s="60" t="s">
        <v>603</v>
      </c>
      <c r="C41" s="58" t="s">
        <v>3047</v>
      </c>
      <c r="D41" s="59" t="s">
        <v>605</v>
      </c>
      <c r="E41" s="58" t="s">
        <v>606</v>
      </c>
      <c r="F41" s="58" t="s">
        <v>607</v>
      </c>
    </row>
    <row r="42" spans="1:6" ht="26.1" customHeight="1">
      <c r="A42" s="58" t="s">
        <v>3048</v>
      </c>
      <c r="B42" s="60" t="s">
        <v>603</v>
      </c>
      <c r="C42" s="58" t="s">
        <v>653</v>
      </c>
      <c r="D42" s="59" t="s">
        <v>605</v>
      </c>
      <c r="E42" s="58" t="s">
        <v>610</v>
      </c>
      <c r="F42" s="58" t="s">
        <v>607</v>
      </c>
    </row>
    <row r="43" spans="1:6" ht="26.1" customHeight="1">
      <c r="A43" s="58" t="s">
        <v>3049</v>
      </c>
      <c r="B43" s="60" t="s">
        <v>603</v>
      </c>
      <c r="C43" s="58" t="s">
        <v>3050</v>
      </c>
      <c r="D43" s="59" t="s">
        <v>605</v>
      </c>
      <c r="E43" s="58" t="s">
        <v>636</v>
      </c>
      <c r="F43" s="58" t="s">
        <v>2575</v>
      </c>
    </row>
    <row r="44" spans="1:6" ht="26.1" customHeight="1">
      <c r="A44" s="58" t="s">
        <v>3051</v>
      </c>
      <c r="B44" s="60" t="s">
        <v>603</v>
      </c>
      <c r="C44" s="58" t="s">
        <v>632</v>
      </c>
      <c r="D44" s="59" t="s">
        <v>605</v>
      </c>
      <c r="E44" s="58" t="s">
        <v>606</v>
      </c>
      <c r="F44" s="58" t="s">
        <v>3052</v>
      </c>
    </row>
    <row r="45" spans="1:6" ht="26.1" customHeight="1">
      <c r="A45" s="58" t="s">
        <v>3053</v>
      </c>
      <c r="B45" s="60" t="s">
        <v>603</v>
      </c>
      <c r="C45" s="67" t="s">
        <v>609</v>
      </c>
      <c r="D45" s="59" t="s">
        <v>605</v>
      </c>
      <c r="E45" s="58" t="s">
        <v>1939</v>
      </c>
      <c r="F45" s="58" t="s">
        <v>607</v>
      </c>
    </row>
    <row r="46" spans="1:6" ht="26.1" customHeight="1">
      <c r="A46" s="58" t="s">
        <v>3053</v>
      </c>
      <c r="B46" s="60" t="s">
        <v>603</v>
      </c>
      <c r="C46" s="67" t="s">
        <v>3054</v>
      </c>
      <c r="D46" s="59" t="s">
        <v>605</v>
      </c>
      <c r="E46" s="58" t="s">
        <v>3055</v>
      </c>
      <c r="F46" s="58" t="s">
        <v>3056</v>
      </c>
    </row>
    <row r="47" spans="1:6" ht="26.1" customHeight="1">
      <c r="A47" s="58" t="s">
        <v>3057</v>
      </c>
      <c r="B47" s="60" t="s">
        <v>603</v>
      </c>
      <c r="C47" s="58" t="s">
        <v>2239</v>
      </c>
      <c r="D47" s="59" t="s">
        <v>605</v>
      </c>
      <c r="E47" s="58" t="s">
        <v>3058</v>
      </c>
      <c r="F47" s="58" t="s">
        <v>607</v>
      </c>
    </row>
    <row r="48" spans="1:6" ht="26.1" customHeight="1">
      <c r="A48" s="58" t="s">
        <v>3059</v>
      </c>
      <c r="B48" s="60" t="s">
        <v>603</v>
      </c>
      <c r="C48" s="67" t="s">
        <v>1869</v>
      </c>
      <c r="D48" s="59" t="s">
        <v>605</v>
      </c>
      <c r="E48" s="58" t="s">
        <v>610</v>
      </c>
      <c r="F48" s="58" t="s">
        <v>607</v>
      </c>
    </row>
    <row r="49" spans="1:6" ht="26.1" customHeight="1">
      <c r="A49" s="58" t="s">
        <v>3060</v>
      </c>
      <c r="B49" s="60" t="s">
        <v>603</v>
      </c>
      <c r="C49" s="58" t="s">
        <v>2663</v>
      </c>
      <c r="D49" s="59" t="s">
        <v>605</v>
      </c>
      <c r="E49" s="58" t="s">
        <v>610</v>
      </c>
      <c r="F49" s="58" t="s">
        <v>691</v>
      </c>
    </row>
    <row r="50" spans="1:6" ht="15">
      <c r="C50" s="53"/>
      <c r="D50" s="54"/>
    </row>
    <row r="51" spans="1:6" ht="15">
      <c r="C51" s="63" t="s">
        <v>633</v>
      </c>
      <c r="D51" s="63" t="str">
        <f>COUNTIF(D2:D49,"☑")&amp;" / "&amp;COUNTA(A2:A49)</f>
        <v>0 / 48</v>
      </c>
    </row>
  </sheetData>
  <conditionalFormatting sqref="B2:B20">
    <cfRule type="expression" dxfId="48" priority="1">
      <formula>B2="A"</formula>
    </cfRule>
    <cfRule type="expression" dxfId="47" priority="2">
      <formula>B2="B"</formula>
    </cfRule>
    <cfRule type="expression" dxfId="46" priority="3">
      <formula>B2="C"</formula>
    </cfRule>
  </conditionalFormatting>
  <conditionalFormatting sqref="D2:D49">
    <cfRule type="expression" dxfId="45" priority="4">
      <formula>D2="☑"</formula>
    </cfRule>
  </conditionalFormatting>
  <dataValidations count="1">
    <dataValidation type="list" sqref="D2:D49" xr:uid="{00000000-0002-0000-1E00-000000000000}">
      <formula1>"☐,☑"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53"/>
  <sheetViews>
    <sheetView workbookViewId="0"/>
  </sheetViews>
  <sheetFormatPr defaultRowHeight="14.25"/>
  <cols>
    <col min="1" max="1" width="34" customWidth="1"/>
    <col min="2" max="2" width="10" customWidth="1"/>
    <col min="3" max="3" width="50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81" t="s">
        <v>598</v>
      </c>
      <c r="B1" s="81" t="s">
        <v>599</v>
      </c>
      <c r="C1" s="81" t="s">
        <v>13</v>
      </c>
      <c r="D1" s="81" t="s">
        <v>3</v>
      </c>
      <c r="E1" s="81" t="s">
        <v>600</v>
      </c>
      <c r="F1" s="81" t="s">
        <v>601</v>
      </c>
    </row>
    <row r="2" spans="1:6" ht="27.95" customHeight="1">
      <c r="A2" s="82" t="s">
        <v>3061</v>
      </c>
      <c r="B2" s="84" t="s">
        <v>603</v>
      </c>
      <c r="C2" s="82" t="s">
        <v>3062</v>
      </c>
      <c r="D2" s="83" t="s">
        <v>605</v>
      </c>
      <c r="E2" s="82" t="s">
        <v>2661</v>
      </c>
      <c r="F2" s="82" t="s">
        <v>3063</v>
      </c>
    </row>
    <row r="3" spans="1:6" ht="27.95" customHeight="1">
      <c r="A3" s="82" t="s">
        <v>3064</v>
      </c>
      <c r="B3" s="84" t="s">
        <v>603</v>
      </c>
      <c r="C3" s="82" t="s">
        <v>650</v>
      </c>
      <c r="D3" s="83" t="s">
        <v>605</v>
      </c>
      <c r="E3" s="82" t="s">
        <v>688</v>
      </c>
      <c r="F3" s="82" t="s">
        <v>607</v>
      </c>
    </row>
    <row r="4" spans="1:6" ht="27.95" customHeight="1">
      <c r="A4" s="82" t="s">
        <v>3065</v>
      </c>
      <c r="B4" s="84" t="s">
        <v>603</v>
      </c>
      <c r="C4" s="82" t="s">
        <v>629</v>
      </c>
      <c r="D4" s="83" t="s">
        <v>605</v>
      </c>
      <c r="E4" s="82" t="s">
        <v>610</v>
      </c>
      <c r="F4" s="82" t="s">
        <v>607</v>
      </c>
    </row>
    <row r="5" spans="1:6" ht="27.95" customHeight="1">
      <c r="A5" s="82" t="s">
        <v>3066</v>
      </c>
      <c r="B5" s="84" t="s">
        <v>603</v>
      </c>
      <c r="C5" s="82" t="s">
        <v>3067</v>
      </c>
      <c r="D5" s="83" t="s">
        <v>605</v>
      </c>
      <c r="E5" s="82" t="s">
        <v>610</v>
      </c>
      <c r="F5" s="82" t="s">
        <v>2575</v>
      </c>
    </row>
    <row r="6" spans="1:6" ht="27.95" customHeight="1">
      <c r="A6" s="82" t="s">
        <v>3068</v>
      </c>
      <c r="B6" s="84" t="s">
        <v>603</v>
      </c>
      <c r="C6" s="82" t="s">
        <v>3069</v>
      </c>
      <c r="D6" s="83" t="s">
        <v>605</v>
      </c>
      <c r="E6" s="82" t="s">
        <v>3070</v>
      </c>
      <c r="F6" s="82" t="s">
        <v>3071</v>
      </c>
    </row>
    <row r="7" spans="1:6" ht="27.95" customHeight="1">
      <c r="A7" s="82" t="s">
        <v>3072</v>
      </c>
      <c r="B7" s="84" t="s">
        <v>603</v>
      </c>
      <c r="C7" s="82" t="s">
        <v>3073</v>
      </c>
      <c r="D7" s="83" t="s">
        <v>605</v>
      </c>
      <c r="E7" s="82" t="s">
        <v>804</v>
      </c>
      <c r="F7" s="82" t="s">
        <v>3074</v>
      </c>
    </row>
    <row r="8" spans="1:6" ht="27.95" customHeight="1">
      <c r="A8" s="82" t="s">
        <v>272</v>
      </c>
      <c r="B8" s="84" t="s">
        <v>603</v>
      </c>
      <c r="C8" s="82" t="s">
        <v>3075</v>
      </c>
      <c r="D8" s="83" t="s">
        <v>605</v>
      </c>
      <c r="E8" s="82" t="s">
        <v>804</v>
      </c>
      <c r="F8" s="82" t="s">
        <v>3076</v>
      </c>
    </row>
    <row r="9" spans="1:6" ht="27.95" customHeight="1">
      <c r="A9" s="82" t="s">
        <v>3077</v>
      </c>
      <c r="B9" s="84" t="s">
        <v>603</v>
      </c>
      <c r="C9" s="82" t="s">
        <v>629</v>
      </c>
      <c r="D9" s="83" t="s">
        <v>605</v>
      </c>
      <c r="E9" s="82" t="s">
        <v>2661</v>
      </c>
      <c r="F9" s="82" t="s">
        <v>607</v>
      </c>
    </row>
    <row r="10" spans="1:6" ht="27.95" customHeight="1">
      <c r="A10" s="82" t="s">
        <v>3078</v>
      </c>
      <c r="B10" s="84" t="s">
        <v>603</v>
      </c>
      <c r="C10" s="82" t="s">
        <v>3079</v>
      </c>
      <c r="D10" s="83" t="s">
        <v>605</v>
      </c>
      <c r="E10" s="82" t="s">
        <v>610</v>
      </c>
      <c r="F10" s="82" t="s">
        <v>691</v>
      </c>
    </row>
    <row r="11" spans="1:6" ht="27.95" customHeight="1">
      <c r="A11" s="82" t="s">
        <v>3080</v>
      </c>
      <c r="B11" s="84" t="s">
        <v>603</v>
      </c>
      <c r="C11" s="82" t="s">
        <v>3081</v>
      </c>
      <c r="D11" s="83" t="s">
        <v>605</v>
      </c>
      <c r="E11" s="82" t="s">
        <v>610</v>
      </c>
      <c r="F11" s="82" t="s">
        <v>607</v>
      </c>
    </row>
    <row r="12" spans="1:6" ht="27.95" customHeight="1">
      <c r="A12" s="82" t="s">
        <v>3082</v>
      </c>
      <c r="B12" s="84" t="s">
        <v>603</v>
      </c>
      <c r="C12" s="82" t="s">
        <v>609</v>
      </c>
      <c r="D12" s="83" t="s">
        <v>605</v>
      </c>
      <c r="E12" s="82" t="s">
        <v>1939</v>
      </c>
      <c r="F12" s="82" t="s">
        <v>607</v>
      </c>
    </row>
    <row r="13" spans="1:6" ht="27.95" customHeight="1">
      <c r="A13" s="82" t="s">
        <v>3083</v>
      </c>
      <c r="B13" s="84" t="s">
        <v>603</v>
      </c>
      <c r="C13" s="82" t="s">
        <v>3084</v>
      </c>
      <c r="D13" s="83" t="s">
        <v>605</v>
      </c>
      <c r="E13" s="82" t="s">
        <v>610</v>
      </c>
      <c r="F13" s="82" t="s">
        <v>691</v>
      </c>
    </row>
    <row r="14" spans="1:6" ht="27.95" customHeight="1">
      <c r="A14" s="82" t="s">
        <v>3085</v>
      </c>
      <c r="B14" s="84" t="s">
        <v>603</v>
      </c>
      <c r="C14" s="82" t="s">
        <v>3086</v>
      </c>
      <c r="D14" s="83" t="s">
        <v>605</v>
      </c>
      <c r="E14" s="82" t="s">
        <v>606</v>
      </c>
      <c r="F14" s="82" t="s">
        <v>1434</v>
      </c>
    </row>
    <row r="15" spans="1:6" ht="27.95" customHeight="1">
      <c r="A15" s="82" t="s">
        <v>2900</v>
      </c>
      <c r="B15" s="84" t="s">
        <v>603</v>
      </c>
      <c r="C15" s="82" t="s">
        <v>2901</v>
      </c>
      <c r="D15" s="83" t="s">
        <v>605</v>
      </c>
      <c r="E15" s="82" t="s">
        <v>610</v>
      </c>
      <c r="F15" s="82" t="s">
        <v>607</v>
      </c>
    </row>
    <row r="16" spans="1:6" ht="27.95" customHeight="1">
      <c r="A16" s="82" t="s">
        <v>3087</v>
      </c>
      <c r="B16" s="84" t="s">
        <v>603</v>
      </c>
      <c r="C16" s="82" t="s">
        <v>3088</v>
      </c>
      <c r="D16" s="83" t="s">
        <v>605</v>
      </c>
      <c r="E16" s="82" t="s">
        <v>3070</v>
      </c>
      <c r="F16" s="82" t="s">
        <v>3089</v>
      </c>
    </row>
    <row r="17" spans="1:6" ht="27.95" customHeight="1">
      <c r="A17" s="82" t="s">
        <v>3090</v>
      </c>
      <c r="B17" s="84" t="s">
        <v>603</v>
      </c>
      <c r="C17" s="82" t="s">
        <v>829</v>
      </c>
      <c r="D17" s="83" t="s">
        <v>605</v>
      </c>
      <c r="E17" s="82" t="s">
        <v>610</v>
      </c>
      <c r="F17" s="82" t="s">
        <v>607</v>
      </c>
    </row>
    <row r="18" spans="1:6" ht="27.95" customHeight="1">
      <c r="A18" s="82" t="s">
        <v>307</v>
      </c>
      <c r="B18" s="84" t="s">
        <v>603</v>
      </c>
      <c r="C18" s="82" t="s">
        <v>3091</v>
      </c>
      <c r="D18" s="83" t="s">
        <v>605</v>
      </c>
      <c r="E18" s="82" t="s">
        <v>610</v>
      </c>
      <c r="F18" s="82" t="s">
        <v>3092</v>
      </c>
    </row>
    <row r="19" spans="1:6" ht="27.95" customHeight="1">
      <c r="A19" s="82" t="s">
        <v>3093</v>
      </c>
      <c r="B19" s="84" t="s">
        <v>603</v>
      </c>
      <c r="C19" s="82" t="s">
        <v>3094</v>
      </c>
      <c r="D19" s="83" t="s">
        <v>605</v>
      </c>
      <c r="E19" s="82" t="s">
        <v>610</v>
      </c>
      <c r="F19" s="82" t="s">
        <v>691</v>
      </c>
    </row>
    <row r="20" spans="1:6" ht="27.95" customHeight="1">
      <c r="A20" s="82" t="s">
        <v>584</v>
      </c>
      <c r="B20" s="84" t="s">
        <v>603</v>
      </c>
      <c r="C20" s="82" t="s">
        <v>3095</v>
      </c>
      <c r="D20" s="83" t="s">
        <v>605</v>
      </c>
      <c r="E20" s="82" t="s">
        <v>3096</v>
      </c>
      <c r="F20" s="82" t="s">
        <v>607</v>
      </c>
    </row>
    <row r="21" spans="1:6" ht="27.95" customHeight="1">
      <c r="A21" s="82" t="s">
        <v>3097</v>
      </c>
      <c r="B21" s="84" t="s">
        <v>603</v>
      </c>
      <c r="C21" s="82" t="s">
        <v>3098</v>
      </c>
      <c r="D21" s="83" t="s">
        <v>605</v>
      </c>
      <c r="E21" s="82" t="s">
        <v>610</v>
      </c>
      <c r="F21" s="82" t="s">
        <v>691</v>
      </c>
    </row>
    <row r="22" spans="1:6" ht="27.95" customHeight="1">
      <c r="A22" s="82" t="s">
        <v>3099</v>
      </c>
      <c r="B22" s="84" t="s">
        <v>603</v>
      </c>
      <c r="C22" s="82" t="s">
        <v>609</v>
      </c>
      <c r="D22" s="83" t="s">
        <v>605</v>
      </c>
      <c r="E22" s="82" t="s">
        <v>610</v>
      </c>
      <c r="F22" s="82" t="s">
        <v>607</v>
      </c>
    </row>
    <row r="23" spans="1:6" ht="27.95" customHeight="1">
      <c r="A23" s="82" t="s">
        <v>137</v>
      </c>
      <c r="B23" s="84" t="s">
        <v>603</v>
      </c>
      <c r="C23" s="82" t="s">
        <v>3100</v>
      </c>
      <c r="D23" s="83" t="s">
        <v>605</v>
      </c>
      <c r="E23" s="82" t="s">
        <v>610</v>
      </c>
      <c r="F23" s="82" t="s">
        <v>1434</v>
      </c>
    </row>
    <row r="24" spans="1:6" ht="27.95" customHeight="1">
      <c r="A24" s="82" t="s">
        <v>3101</v>
      </c>
      <c r="B24" s="84" t="s">
        <v>603</v>
      </c>
      <c r="C24" s="82" t="s">
        <v>650</v>
      </c>
      <c r="D24" s="83" t="s">
        <v>605</v>
      </c>
      <c r="E24" s="82" t="s">
        <v>3102</v>
      </c>
      <c r="F24" s="82" t="s">
        <v>607</v>
      </c>
    </row>
    <row r="25" spans="1:6" ht="27.95" customHeight="1">
      <c r="A25" s="82" t="s">
        <v>3103</v>
      </c>
      <c r="B25" s="84" t="s">
        <v>603</v>
      </c>
      <c r="C25" s="82" t="s">
        <v>3104</v>
      </c>
      <c r="D25" s="83" t="s">
        <v>605</v>
      </c>
      <c r="E25" s="82" t="s">
        <v>610</v>
      </c>
      <c r="F25" s="82" t="s">
        <v>607</v>
      </c>
    </row>
    <row r="26" spans="1:6" ht="27.95" customHeight="1">
      <c r="A26" s="82" t="s">
        <v>3105</v>
      </c>
      <c r="B26" s="84" t="s">
        <v>603</v>
      </c>
      <c r="C26" s="90" t="s">
        <v>3106</v>
      </c>
      <c r="D26" s="91" t="s">
        <v>605</v>
      </c>
      <c r="E26" s="82" t="s">
        <v>606</v>
      </c>
      <c r="F26" s="82" t="s">
        <v>691</v>
      </c>
    </row>
    <row r="27" spans="1:6" ht="27.95" customHeight="1">
      <c r="A27" s="82" t="s">
        <v>3107</v>
      </c>
      <c r="B27" s="84" t="s">
        <v>603</v>
      </c>
      <c r="C27" s="90" t="s">
        <v>3108</v>
      </c>
      <c r="D27" s="91" t="s">
        <v>605</v>
      </c>
      <c r="E27" s="82" t="s">
        <v>3109</v>
      </c>
      <c r="F27" s="82" t="s">
        <v>3110</v>
      </c>
    </row>
    <row r="28" spans="1:6" ht="27.95" customHeight="1">
      <c r="A28" s="82" t="s">
        <v>3111</v>
      </c>
      <c r="B28" s="84" t="s">
        <v>603</v>
      </c>
      <c r="C28" s="90" t="s">
        <v>650</v>
      </c>
      <c r="D28" s="91" t="s">
        <v>605</v>
      </c>
      <c r="E28" s="82" t="s">
        <v>688</v>
      </c>
      <c r="F28" s="82" t="s">
        <v>607</v>
      </c>
    </row>
    <row r="29" spans="1:6" ht="27.95" customHeight="1">
      <c r="A29" s="82" t="s">
        <v>3112</v>
      </c>
      <c r="B29" s="84" t="s">
        <v>603</v>
      </c>
      <c r="C29" s="90" t="s">
        <v>3113</v>
      </c>
      <c r="D29" s="91" t="s">
        <v>605</v>
      </c>
      <c r="E29" s="82" t="s">
        <v>731</v>
      </c>
      <c r="F29" s="82" t="s">
        <v>3114</v>
      </c>
    </row>
    <row r="30" spans="1:6" ht="27.95" customHeight="1">
      <c r="A30" s="82" t="s">
        <v>3115</v>
      </c>
      <c r="B30" s="84" t="s">
        <v>603</v>
      </c>
      <c r="C30" s="90" t="s">
        <v>3116</v>
      </c>
      <c r="D30" s="91" t="s">
        <v>605</v>
      </c>
      <c r="E30" s="82" t="s">
        <v>804</v>
      </c>
      <c r="F30" s="82" t="s">
        <v>3117</v>
      </c>
    </row>
    <row r="31" spans="1:6" ht="27.95" customHeight="1">
      <c r="A31" s="82" t="s">
        <v>3118</v>
      </c>
      <c r="B31" s="85" t="s">
        <v>619</v>
      </c>
      <c r="C31" s="90" t="s">
        <v>3119</v>
      </c>
      <c r="D31" s="91" t="s">
        <v>605</v>
      </c>
      <c r="E31" s="82" t="s">
        <v>620</v>
      </c>
      <c r="F31" s="82" t="s">
        <v>691</v>
      </c>
    </row>
    <row r="32" spans="1:6" ht="27.95" customHeight="1">
      <c r="A32" s="82" t="s">
        <v>3120</v>
      </c>
      <c r="B32" s="85" t="s">
        <v>619</v>
      </c>
      <c r="C32" s="90" t="s">
        <v>3121</v>
      </c>
      <c r="D32" s="91" t="s">
        <v>605</v>
      </c>
      <c r="E32" s="82" t="s">
        <v>876</v>
      </c>
      <c r="F32" s="82" t="s">
        <v>607</v>
      </c>
    </row>
    <row r="33" spans="1:6" ht="27.95" customHeight="1">
      <c r="A33" s="82" t="s">
        <v>3122</v>
      </c>
      <c r="B33" s="84" t="s">
        <v>603</v>
      </c>
      <c r="C33" s="90" t="s">
        <v>3123</v>
      </c>
      <c r="D33" s="91" t="s">
        <v>605</v>
      </c>
      <c r="E33" s="82" t="s">
        <v>610</v>
      </c>
      <c r="F33" s="82" t="s">
        <v>607</v>
      </c>
    </row>
    <row r="34" spans="1:6" ht="27.95" customHeight="1">
      <c r="A34" s="82" t="s">
        <v>3026</v>
      </c>
      <c r="B34" s="84" t="s">
        <v>603</v>
      </c>
      <c r="C34" s="90" t="s">
        <v>629</v>
      </c>
      <c r="D34" s="91" t="s">
        <v>605</v>
      </c>
      <c r="E34" s="82" t="s">
        <v>610</v>
      </c>
      <c r="F34" s="82" t="s">
        <v>607</v>
      </c>
    </row>
    <row r="35" spans="1:6" ht="27.95" customHeight="1">
      <c r="A35" s="82" t="s">
        <v>3124</v>
      </c>
      <c r="B35" s="84" t="s">
        <v>603</v>
      </c>
      <c r="C35" s="90" t="s">
        <v>632</v>
      </c>
      <c r="D35" s="91" t="s">
        <v>605</v>
      </c>
      <c r="E35" s="82" t="s">
        <v>2661</v>
      </c>
      <c r="F35" s="82" t="s">
        <v>607</v>
      </c>
    </row>
    <row r="36" spans="1:6" ht="27.95" customHeight="1">
      <c r="A36" s="82" t="s">
        <v>3125</v>
      </c>
      <c r="B36" s="84" t="s">
        <v>603</v>
      </c>
      <c r="C36" s="90" t="s">
        <v>3126</v>
      </c>
      <c r="D36" s="91" t="s">
        <v>605</v>
      </c>
      <c r="E36" s="82" t="s">
        <v>636</v>
      </c>
      <c r="F36" s="82" t="s">
        <v>3127</v>
      </c>
    </row>
    <row r="37" spans="1:6" ht="27.95" customHeight="1">
      <c r="A37" s="82" t="s">
        <v>3128</v>
      </c>
      <c r="B37" s="84" t="s">
        <v>603</v>
      </c>
      <c r="C37" s="90" t="s">
        <v>3129</v>
      </c>
      <c r="D37" s="91" t="s">
        <v>605</v>
      </c>
      <c r="E37" s="82" t="s">
        <v>3130</v>
      </c>
      <c r="F37" s="82" t="s">
        <v>3131</v>
      </c>
    </row>
    <row r="38" spans="1:6" ht="27.95" customHeight="1">
      <c r="A38" s="82" t="s">
        <v>204</v>
      </c>
      <c r="B38" s="84" t="s">
        <v>603</v>
      </c>
      <c r="C38" s="82" t="s">
        <v>3132</v>
      </c>
      <c r="D38" s="83" t="s">
        <v>605</v>
      </c>
      <c r="E38" s="82" t="s">
        <v>3133</v>
      </c>
      <c r="F38" s="82" t="s">
        <v>3134</v>
      </c>
    </row>
    <row r="39" spans="1:6" ht="27.95" customHeight="1">
      <c r="A39" s="82" t="s">
        <v>3135</v>
      </c>
      <c r="B39" s="84" t="s">
        <v>603</v>
      </c>
      <c r="C39" s="82" t="s">
        <v>650</v>
      </c>
      <c r="D39" s="83" t="s">
        <v>605</v>
      </c>
      <c r="E39" s="82" t="s">
        <v>3102</v>
      </c>
      <c r="F39" s="82" t="s">
        <v>607</v>
      </c>
    </row>
    <row r="40" spans="1:6" ht="27.95" customHeight="1">
      <c r="A40" s="82" t="s">
        <v>3136</v>
      </c>
      <c r="B40" s="84" t="s">
        <v>603</v>
      </c>
      <c r="C40" s="82" t="s">
        <v>3137</v>
      </c>
      <c r="D40" s="83" t="s">
        <v>605</v>
      </c>
      <c r="E40" s="82" t="s">
        <v>610</v>
      </c>
      <c r="F40" s="82" t="s">
        <v>607</v>
      </c>
    </row>
    <row r="41" spans="1:6" ht="27.95" customHeight="1">
      <c r="A41" s="82" t="s">
        <v>3138</v>
      </c>
      <c r="B41" s="84" t="s">
        <v>603</v>
      </c>
      <c r="C41" s="93" t="s">
        <v>3139</v>
      </c>
      <c r="D41" s="83" t="s">
        <v>605</v>
      </c>
      <c r="E41" s="82" t="s">
        <v>610</v>
      </c>
      <c r="F41" s="82" t="s">
        <v>691</v>
      </c>
    </row>
    <row r="42" spans="1:6" ht="27.95" customHeight="1">
      <c r="A42" s="82" t="s">
        <v>3140</v>
      </c>
      <c r="B42" s="85" t="s">
        <v>619</v>
      </c>
      <c r="C42" s="82" t="s">
        <v>793</v>
      </c>
      <c r="D42" s="83" t="s">
        <v>605</v>
      </c>
      <c r="E42" s="82" t="s">
        <v>620</v>
      </c>
      <c r="F42" s="82" t="s">
        <v>607</v>
      </c>
    </row>
    <row r="43" spans="1:6" ht="27.95" customHeight="1">
      <c r="A43" s="82" t="s">
        <v>3141</v>
      </c>
      <c r="B43" s="85" t="s">
        <v>619</v>
      </c>
      <c r="C43" s="93" t="s">
        <v>3142</v>
      </c>
      <c r="D43" s="83" t="s">
        <v>605</v>
      </c>
      <c r="E43" s="82" t="s">
        <v>2152</v>
      </c>
      <c r="F43" s="82" t="s">
        <v>3143</v>
      </c>
    </row>
    <row r="44" spans="1:6" ht="27.95" customHeight="1">
      <c r="A44" s="82" t="s">
        <v>3144</v>
      </c>
      <c r="B44" s="85" t="s">
        <v>619</v>
      </c>
      <c r="C44" s="82" t="s">
        <v>3145</v>
      </c>
      <c r="D44" s="83" t="s">
        <v>605</v>
      </c>
      <c r="E44" s="82" t="s">
        <v>3146</v>
      </c>
      <c r="F44" s="82" t="s">
        <v>3147</v>
      </c>
    </row>
    <row r="45" spans="1:6" ht="27.95" customHeight="1">
      <c r="A45" s="82" t="s">
        <v>649</v>
      </c>
      <c r="B45" s="84" t="s">
        <v>603</v>
      </c>
      <c r="C45" s="93" t="s">
        <v>650</v>
      </c>
      <c r="D45" s="83" t="s">
        <v>605</v>
      </c>
      <c r="E45" s="82" t="s">
        <v>3102</v>
      </c>
      <c r="F45" s="82" t="s">
        <v>607</v>
      </c>
    </row>
    <row r="46" spans="1:6" ht="27.95" customHeight="1">
      <c r="A46" s="82" t="s">
        <v>3148</v>
      </c>
      <c r="B46" s="84" t="s">
        <v>603</v>
      </c>
      <c r="C46" s="93" t="s">
        <v>3149</v>
      </c>
      <c r="D46" s="83" t="s">
        <v>605</v>
      </c>
      <c r="E46" s="82" t="s">
        <v>606</v>
      </c>
      <c r="F46" s="82" t="s">
        <v>1434</v>
      </c>
    </row>
    <row r="47" spans="1:6" ht="27.95" customHeight="1">
      <c r="A47" s="82" t="s">
        <v>3150</v>
      </c>
      <c r="B47" s="85" t="s">
        <v>619</v>
      </c>
      <c r="C47" s="82" t="s">
        <v>3151</v>
      </c>
      <c r="D47" s="83" t="s">
        <v>605</v>
      </c>
      <c r="E47" s="82" t="s">
        <v>3152</v>
      </c>
      <c r="F47" s="82" t="s">
        <v>3153</v>
      </c>
    </row>
    <row r="48" spans="1:6" ht="27.95" customHeight="1">
      <c r="A48" s="82" t="s">
        <v>160</v>
      </c>
      <c r="B48" s="84" t="s">
        <v>603</v>
      </c>
      <c r="C48" s="82" t="s">
        <v>1802</v>
      </c>
      <c r="D48" s="83" t="s">
        <v>605</v>
      </c>
      <c r="E48" s="82" t="s">
        <v>610</v>
      </c>
      <c r="F48" s="82" t="s">
        <v>1627</v>
      </c>
    </row>
    <row r="49" spans="1:6" ht="27.95" customHeight="1">
      <c r="A49" s="82" t="s">
        <v>3154</v>
      </c>
      <c r="B49" s="86" t="s">
        <v>615</v>
      </c>
      <c r="C49" s="82" t="s">
        <v>3155</v>
      </c>
      <c r="D49" s="83" t="s">
        <v>605</v>
      </c>
      <c r="E49" s="82" t="s">
        <v>825</v>
      </c>
      <c r="F49" s="82" t="s">
        <v>3156</v>
      </c>
    </row>
    <row r="50" spans="1:6" ht="27.95" customHeight="1">
      <c r="A50" s="82" t="s">
        <v>3157</v>
      </c>
      <c r="B50" s="86" t="s">
        <v>615</v>
      </c>
      <c r="C50" s="93" t="s">
        <v>911</v>
      </c>
      <c r="D50" s="83" t="s">
        <v>605</v>
      </c>
      <c r="E50" s="82" t="s">
        <v>3158</v>
      </c>
      <c r="F50" s="82" t="s">
        <v>607</v>
      </c>
    </row>
    <row r="51" spans="1:6" ht="27.95" customHeight="1">
      <c r="A51" s="82" t="s">
        <v>3159</v>
      </c>
      <c r="B51" s="84" t="s">
        <v>603</v>
      </c>
      <c r="C51" s="82" t="s">
        <v>3160</v>
      </c>
      <c r="D51" s="83" t="s">
        <v>605</v>
      </c>
      <c r="E51" s="82" t="s">
        <v>3161</v>
      </c>
      <c r="F51" s="82" t="s">
        <v>3162</v>
      </c>
    </row>
    <row r="53" spans="1:6" ht="15">
      <c r="C53" s="88" t="s">
        <v>633</v>
      </c>
      <c r="D53" s="89" t="str">
        <f>COUNTIF(D2:D51,"☑")&amp;" / "&amp;COUNTA(A2:A51)</f>
        <v>0 / 50</v>
      </c>
    </row>
  </sheetData>
  <conditionalFormatting sqref="B2:B24">
    <cfRule type="expression" dxfId="44" priority="1">
      <formula>B2="A"</formula>
    </cfRule>
    <cfRule type="expression" dxfId="43" priority="2">
      <formula>B2="B"</formula>
    </cfRule>
    <cfRule type="expression" dxfId="42" priority="3">
      <formula>B2="C"</formula>
    </cfRule>
  </conditionalFormatting>
  <conditionalFormatting sqref="D2:D48">
    <cfRule type="expression" dxfId="41" priority="4">
      <formula>D2="☑"</formula>
    </cfRule>
  </conditionalFormatting>
  <conditionalFormatting sqref="D2:D51">
    <cfRule type="expression" dxfId="40" priority="25">
      <formula>D2="☑"</formula>
    </cfRule>
  </conditionalFormatting>
  <dataValidations count="1">
    <dataValidation type="list" sqref="D2:D51" xr:uid="{00000000-0002-0000-1F00-000000000000}">
      <formula1>"☐,☑"</formula1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49"/>
  <sheetViews>
    <sheetView workbookViewId="0"/>
  </sheetViews>
  <sheetFormatPr defaultRowHeight="14.25"/>
  <cols>
    <col min="1" max="1" width="34" customWidth="1"/>
    <col min="2" max="2" width="10" customWidth="1"/>
    <col min="3" max="3" width="48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69" t="s">
        <v>598</v>
      </c>
      <c r="B1" s="69" t="s">
        <v>599</v>
      </c>
      <c r="C1" s="69" t="s">
        <v>13</v>
      </c>
      <c r="D1" s="69" t="s">
        <v>3</v>
      </c>
      <c r="E1" s="69" t="s">
        <v>600</v>
      </c>
      <c r="F1" s="69" t="s">
        <v>601</v>
      </c>
    </row>
    <row r="2" spans="1:6" ht="26.1" customHeight="1">
      <c r="A2" s="70" t="s">
        <v>3163</v>
      </c>
      <c r="B2" s="76" t="s">
        <v>603</v>
      </c>
      <c r="C2" s="70" t="s">
        <v>1802</v>
      </c>
      <c r="D2" s="71" t="s">
        <v>605</v>
      </c>
      <c r="E2" s="70" t="s">
        <v>610</v>
      </c>
      <c r="F2" s="70" t="s">
        <v>2606</v>
      </c>
    </row>
    <row r="3" spans="1:6" ht="26.1" customHeight="1">
      <c r="A3" s="70" t="s">
        <v>3164</v>
      </c>
      <c r="B3" s="76" t="s">
        <v>603</v>
      </c>
      <c r="C3" s="70" t="s">
        <v>3165</v>
      </c>
      <c r="D3" s="71" t="s">
        <v>605</v>
      </c>
      <c r="E3" s="70" t="s">
        <v>606</v>
      </c>
      <c r="F3" s="70" t="s">
        <v>691</v>
      </c>
    </row>
    <row r="4" spans="1:6" ht="26.1" customHeight="1">
      <c r="A4" s="70" t="s">
        <v>134</v>
      </c>
      <c r="B4" s="76" t="s">
        <v>603</v>
      </c>
      <c r="C4" s="70" t="s">
        <v>3166</v>
      </c>
      <c r="D4" s="71" t="s">
        <v>605</v>
      </c>
      <c r="E4" s="70" t="s">
        <v>606</v>
      </c>
      <c r="F4" s="70" t="s">
        <v>1434</v>
      </c>
    </row>
    <row r="5" spans="1:6" ht="26.1" customHeight="1">
      <c r="A5" s="70" t="s">
        <v>3167</v>
      </c>
      <c r="B5" s="75" t="s">
        <v>619</v>
      </c>
      <c r="C5" s="70" t="s">
        <v>3168</v>
      </c>
      <c r="D5" s="71" t="s">
        <v>605</v>
      </c>
      <c r="E5" s="70" t="s">
        <v>3169</v>
      </c>
      <c r="F5" s="70" t="s">
        <v>2416</v>
      </c>
    </row>
    <row r="6" spans="1:6" ht="26.1" customHeight="1">
      <c r="A6" s="70" t="s">
        <v>3170</v>
      </c>
      <c r="B6" s="75" t="s">
        <v>619</v>
      </c>
      <c r="C6" s="70" t="s">
        <v>650</v>
      </c>
      <c r="D6" s="71" t="s">
        <v>605</v>
      </c>
      <c r="E6" s="70" t="s">
        <v>3102</v>
      </c>
      <c r="F6" s="70" t="s">
        <v>607</v>
      </c>
    </row>
    <row r="7" spans="1:6" ht="26.1" customHeight="1">
      <c r="A7" s="70" t="s">
        <v>3171</v>
      </c>
      <c r="B7" s="76" t="s">
        <v>603</v>
      </c>
      <c r="C7" s="70" t="s">
        <v>1398</v>
      </c>
      <c r="D7" s="71" t="s">
        <v>605</v>
      </c>
      <c r="E7" s="70" t="s">
        <v>683</v>
      </c>
      <c r="F7" s="70" t="s">
        <v>607</v>
      </c>
    </row>
    <row r="8" spans="1:6" ht="26.1" customHeight="1">
      <c r="A8" s="70" t="s">
        <v>3172</v>
      </c>
      <c r="B8" s="76" t="s">
        <v>603</v>
      </c>
      <c r="C8" s="70" t="s">
        <v>650</v>
      </c>
      <c r="D8" s="71" t="s">
        <v>605</v>
      </c>
      <c r="E8" s="70" t="s">
        <v>3102</v>
      </c>
      <c r="F8" s="70" t="s">
        <v>607</v>
      </c>
    </row>
    <row r="9" spans="1:6" ht="26.1" customHeight="1">
      <c r="A9" s="70" t="s">
        <v>3173</v>
      </c>
      <c r="B9" s="76" t="s">
        <v>603</v>
      </c>
      <c r="C9" s="70" t="s">
        <v>3174</v>
      </c>
      <c r="D9" s="71" t="s">
        <v>605</v>
      </c>
      <c r="E9" s="70" t="s">
        <v>606</v>
      </c>
      <c r="F9" s="70" t="s">
        <v>1434</v>
      </c>
    </row>
    <row r="10" spans="1:6" ht="26.1" customHeight="1">
      <c r="A10" s="70" t="s">
        <v>3175</v>
      </c>
      <c r="B10" s="76" t="s">
        <v>603</v>
      </c>
      <c r="C10" s="70" t="s">
        <v>3176</v>
      </c>
      <c r="D10" s="71" t="s">
        <v>605</v>
      </c>
      <c r="E10" s="70" t="s">
        <v>2661</v>
      </c>
      <c r="F10" s="70" t="s">
        <v>607</v>
      </c>
    </row>
    <row r="11" spans="1:6" ht="26.1" customHeight="1">
      <c r="A11" s="70" t="s">
        <v>3177</v>
      </c>
      <c r="B11" s="76" t="s">
        <v>603</v>
      </c>
      <c r="C11" s="70" t="s">
        <v>3178</v>
      </c>
      <c r="D11" s="71" t="s">
        <v>605</v>
      </c>
      <c r="E11" s="70" t="s">
        <v>610</v>
      </c>
      <c r="F11" s="70" t="s">
        <v>691</v>
      </c>
    </row>
    <row r="12" spans="1:6" ht="26.1" customHeight="1">
      <c r="A12" s="70" t="s">
        <v>3179</v>
      </c>
      <c r="B12" s="76" t="s">
        <v>603</v>
      </c>
      <c r="C12" s="70" t="s">
        <v>3180</v>
      </c>
      <c r="D12" s="71" t="s">
        <v>605</v>
      </c>
      <c r="E12" s="70" t="s">
        <v>2661</v>
      </c>
      <c r="F12" s="70" t="s">
        <v>3181</v>
      </c>
    </row>
    <row r="13" spans="1:6" ht="26.1" customHeight="1">
      <c r="A13" s="70" t="s">
        <v>3182</v>
      </c>
      <c r="B13" s="76" t="s">
        <v>603</v>
      </c>
      <c r="C13" s="70" t="s">
        <v>3183</v>
      </c>
      <c r="D13" s="71" t="s">
        <v>605</v>
      </c>
      <c r="E13" s="70" t="s">
        <v>804</v>
      </c>
      <c r="F13" s="70" t="s">
        <v>3184</v>
      </c>
    </row>
    <row r="14" spans="1:6" ht="26.1" customHeight="1">
      <c r="A14" s="70" t="s">
        <v>275</v>
      </c>
      <c r="B14" s="76" t="s">
        <v>603</v>
      </c>
      <c r="C14" s="70" t="s">
        <v>3185</v>
      </c>
      <c r="D14" s="71" t="s">
        <v>605</v>
      </c>
      <c r="E14" s="70" t="s">
        <v>804</v>
      </c>
      <c r="F14" s="70" t="s">
        <v>3186</v>
      </c>
    </row>
    <row r="15" spans="1:6" ht="26.1" customHeight="1">
      <c r="A15" s="70" t="s">
        <v>3187</v>
      </c>
      <c r="B15" s="76" t="s">
        <v>603</v>
      </c>
      <c r="C15" s="70" t="s">
        <v>650</v>
      </c>
      <c r="D15" s="71" t="s">
        <v>605</v>
      </c>
      <c r="E15" s="70" t="s">
        <v>3188</v>
      </c>
      <c r="F15" s="70" t="s">
        <v>607</v>
      </c>
    </row>
    <row r="16" spans="1:6" ht="26.1" customHeight="1">
      <c r="A16" s="70" t="s">
        <v>3189</v>
      </c>
      <c r="B16" s="76" t="s">
        <v>603</v>
      </c>
      <c r="C16" s="70" t="s">
        <v>951</v>
      </c>
      <c r="D16" s="71" t="s">
        <v>605</v>
      </c>
      <c r="E16" s="70" t="s">
        <v>610</v>
      </c>
      <c r="F16" s="70" t="s">
        <v>607</v>
      </c>
    </row>
    <row r="17" spans="1:6" ht="26.1" customHeight="1">
      <c r="A17" s="70" t="s">
        <v>3190</v>
      </c>
      <c r="B17" s="76" t="s">
        <v>603</v>
      </c>
      <c r="C17" s="70" t="s">
        <v>3191</v>
      </c>
      <c r="D17" s="71" t="s">
        <v>605</v>
      </c>
      <c r="E17" s="70" t="s">
        <v>606</v>
      </c>
      <c r="F17" s="70" t="s">
        <v>691</v>
      </c>
    </row>
    <row r="18" spans="1:6" ht="26.1" customHeight="1">
      <c r="A18" s="70" t="s">
        <v>3192</v>
      </c>
      <c r="B18" s="75" t="s">
        <v>619</v>
      </c>
      <c r="C18" s="70" t="s">
        <v>3094</v>
      </c>
      <c r="D18" s="71" t="s">
        <v>605</v>
      </c>
      <c r="E18" s="70" t="s">
        <v>620</v>
      </c>
      <c r="F18" s="70" t="s">
        <v>691</v>
      </c>
    </row>
    <row r="19" spans="1:6" ht="26.1" customHeight="1">
      <c r="A19" s="70" t="s">
        <v>3193</v>
      </c>
      <c r="B19" s="76" t="s">
        <v>603</v>
      </c>
      <c r="C19" s="70" t="s">
        <v>3194</v>
      </c>
      <c r="D19" s="71" t="s">
        <v>605</v>
      </c>
      <c r="E19" s="70" t="s">
        <v>3195</v>
      </c>
      <c r="F19" s="70" t="s">
        <v>607</v>
      </c>
    </row>
    <row r="20" spans="1:6" ht="26.1" customHeight="1">
      <c r="A20" s="70" t="s">
        <v>3196</v>
      </c>
      <c r="B20" s="76" t="s">
        <v>603</v>
      </c>
      <c r="C20" s="70" t="s">
        <v>3197</v>
      </c>
      <c r="D20" s="71" t="s">
        <v>605</v>
      </c>
      <c r="E20" s="70" t="s">
        <v>606</v>
      </c>
      <c r="F20" s="70" t="s">
        <v>2427</v>
      </c>
    </row>
    <row r="21" spans="1:6" ht="26.1" customHeight="1">
      <c r="A21" s="70" t="s">
        <v>138</v>
      </c>
      <c r="B21" s="76" t="s">
        <v>603</v>
      </c>
      <c r="C21" s="70" t="s">
        <v>3198</v>
      </c>
      <c r="D21" s="71" t="s">
        <v>605</v>
      </c>
      <c r="E21" s="70" t="s">
        <v>610</v>
      </c>
      <c r="F21" s="70" t="s">
        <v>1434</v>
      </c>
    </row>
    <row r="22" spans="1:6" ht="26.1" customHeight="1">
      <c r="A22" s="70" t="s">
        <v>3199</v>
      </c>
      <c r="B22" s="76" t="s">
        <v>603</v>
      </c>
      <c r="C22" s="72" t="s">
        <v>3200</v>
      </c>
      <c r="D22" s="73" t="s">
        <v>605</v>
      </c>
      <c r="E22" s="70" t="s">
        <v>606</v>
      </c>
      <c r="F22" s="70" t="s">
        <v>607</v>
      </c>
    </row>
    <row r="23" spans="1:6" ht="26.1" customHeight="1">
      <c r="A23" s="70" t="s">
        <v>82</v>
      </c>
      <c r="B23" s="76" t="s">
        <v>603</v>
      </c>
      <c r="C23" s="72" t="s">
        <v>3201</v>
      </c>
      <c r="D23" s="73" t="s">
        <v>605</v>
      </c>
      <c r="E23" s="70" t="s">
        <v>2661</v>
      </c>
      <c r="F23" s="70" t="s">
        <v>3202</v>
      </c>
    </row>
    <row r="24" spans="1:6" ht="26.1" customHeight="1">
      <c r="A24" s="70" t="s">
        <v>3203</v>
      </c>
      <c r="B24" s="76" t="s">
        <v>603</v>
      </c>
      <c r="C24" s="72" t="s">
        <v>3204</v>
      </c>
      <c r="D24" s="73" t="s">
        <v>605</v>
      </c>
      <c r="E24" s="70" t="s">
        <v>610</v>
      </c>
      <c r="F24" s="70" t="s">
        <v>1434</v>
      </c>
    </row>
    <row r="25" spans="1:6" ht="26.1" customHeight="1">
      <c r="A25" s="70" t="s">
        <v>3205</v>
      </c>
      <c r="B25" s="77" t="s">
        <v>615</v>
      </c>
      <c r="C25" s="72" t="s">
        <v>3206</v>
      </c>
      <c r="D25" s="73" t="s">
        <v>605</v>
      </c>
      <c r="E25" s="70" t="s">
        <v>630</v>
      </c>
      <c r="F25" s="70" t="s">
        <v>3207</v>
      </c>
    </row>
    <row r="26" spans="1:6" ht="26.1" customHeight="1">
      <c r="A26" s="70" t="s">
        <v>3208</v>
      </c>
      <c r="B26" s="76" t="s">
        <v>603</v>
      </c>
      <c r="C26" s="72" t="s">
        <v>3209</v>
      </c>
      <c r="D26" s="73" t="s">
        <v>605</v>
      </c>
      <c r="E26" s="70" t="s">
        <v>678</v>
      </c>
      <c r="F26" s="70" t="s">
        <v>3210</v>
      </c>
    </row>
    <row r="27" spans="1:6" ht="26.1" customHeight="1">
      <c r="A27" s="70" t="s">
        <v>3211</v>
      </c>
      <c r="B27" s="76" t="s">
        <v>603</v>
      </c>
      <c r="C27" s="72" t="s">
        <v>3212</v>
      </c>
      <c r="D27" s="73" t="s">
        <v>605</v>
      </c>
      <c r="E27" s="70" t="s">
        <v>610</v>
      </c>
      <c r="F27" s="70" t="s">
        <v>607</v>
      </c>
    </row>
    <row r="28" spans="1:6" ht="26.1" customHeight="1">
      <c r="A28" s="70" t="s">
        <v>3213</v>
      </c>
      <c r="B28" s="76" t="s">
        <v>603</v>
      </c>
      <c r="C28" s="72" t="s">
        <v>3121</v>
      </c>
      <c r="D28" s="73" t="s">
        <v>605</v>
      </c>
      <c r="E28" s="70" t="s">
        <v>2661</v>
      </c>
      <c r="F28" s="70" t="s">
        <v>607</v>
      </c>
    </row>
    <row r="29" spans="1:6" ht="26.1" customHeight="1">
      <c r="A29" s="70" t="s">
        <v>3214</v>
      </c>
      <c r="B29" s="76" t="s">
        <v>603</v>
      </c>
      <c r="C29" s="72" t="s">
        <v>3215</v>
      </c>
      <c r="D29" s="73" t="s">
        <v>605</v>
      </c>
      <c r="E29" s="70" t="s">
        <v>610</v>
      </c>
      <c r="F29" s="70" t="s">
        <v>3216</v>
      </c>
    </row>
    <row r="30" spans="1:6" ht="26.1" customHeight="1">
      <c r="A30" s="70" t="s">
        <v>3217</v>
      </c>
      <c r="B30" s="75" t="s">
        <v>619</v>
      </c>
      <c r="C30" s="72" t="s">
        <v>3218</v>
      </c>
      <c r="D30" s="73" t="s">
        <v>605</v>
      </c>
      <c r="E30" s="70" t="s">
        <v>3146</v>
      </c>
      <c r="F30" s="70" t="s">
        <v>691</v>
      </c>
    </row>
    <row r="31" spans="1:6" ht="26.1" customHeight="1">
      <c r="A31" s="70" t="s">
        <v>3219</v>
      </c>
      <c r="B31" s="76" t="s">
        <v>603</v>
      </c>
      <c r="C31" s="72" t="s">
        <v>3220</v>
      </c>
      <c r="D31" s="73" t="s">
        <v>605</v>
      </c>
      <c r="E31" s="70" t="s">
        <v>2912</v>
      </c>
      <c r="F31" s="70" t="s">
        <v>3221</v>
      </c>
    </row>
    <row r="32" spans="1:6" ht="26.1" customHeight="1">
      <c r="A32" s="70" t="s">
        <v>3222</v>
      </c>
      <c r="B32" s="76" t="s">
        <v>603</v>
      </c>
      <c r="C32" s="72" t="s">
        <v>3223</v>
      </c>
      <c r="D32" s="73" t="s">
        <v>605</v>
      </c>
      <c r="E32" s="70" t="s">
        <v>610</v>
      </c>
      <c r="F32" s="70" t="s">
        <v>3224</v>
      </c>
    </row>
    <row r="33" spans="1:6" ht="26.1" customHeight="1">
      <c r="A33" s="70" t="s">
        <v>3225</v>
      </c>
      <c r="B33" s="76" t="s">
        <v>603</v>
      </c>
      <c r="C33" s="72" t="s">
        <v>3226</v>
      </c>
      <c r="D33" s="73" t="s">
        <v>605</v>
      </c>
      <c r="E33" s="70" t="s">
        <v>3227</v>
      </c>
      <c r="F33" s="70" t="s">
        <v>3228</v>
      </c>
    </row>
    <row r="34" spans="1:6" ht="26.1" customHeight="1">
      <c r="A34" s="70" t="s">
        <v>3229</v>
      </c>
      <c r="B34" s="76" t="s">
        <v>603</v>
      </c>
      <c r="C34" s="70" t="s">
        <v>3230</v>
      </c>
      <c r="D34" s="71" t="s">
        <v>605</v>
      </c>
      <c r="E34" s="70" t="s">
        <v>1939</v>
      </c>
      <c r="F34" s="70" t="s">
        <v>3231</v>
      </c>
    </row>
    <row r="35" spans="1:6" ht="26.1" customHeight="1">
      <c r="A35" s="70" t="s">
        <v>3232</v>
      </c>
      <c r="B35" s="76" t="s">
        <v>603</v>
      </c>
      <c r="C35" s="70" t="s">
        <v>1239</v>
      </c>
      <c r="D35" s="71" t="s">
        <v>605</v>
      </c>
      <c r="E35" s="70" t="s">
        <v>2661</v>
      </c>
      <c r="F35" s="70" t="s">
        <v>607</v>
      </c>
    </row>
    <row r="36" spans="1:6" ht="26.1" customHeight="1">
      <c r="A36" s="70" t="s">
        <v>3233</v>
      </c>
      <c r="B36" s="76" t="s">
        <v>603</v>
      </c>
      <c r="C36" s="70" t="s">
        <v>3234</v>
      </c>
      <c r="D36" s="71" t="s">
        <v>605</v>
      </c>
      <c r="E36" s="70" t="s">
        <v>3235</v>
      </c>
      <c r="F36" s="70" t="s">
        <v>2416</v>
      </c>
    </row>
    <row r="37" spans="1:6" ht="26.1" customHeight="1">
      <c r="A37" s="70" t="s">
        <v>3236</v>
      </c>
      <c r="B37" s="75" t="s">
        <v>619</v>
      </c>
      <c r="C37" s="74" t="s">
        <v>3237</v>
      </c>
      <c r="D37" s="71" t="s">
        <v>605</v>
      </c>
      <c r="E37" s="70" t="s">
        <v>617</v>
      </c>
      <c r="F37" s="70" t="s">
        <v>1627</v>
      </c>
    </row>
    <row r="38" spans="1:6" ht="26.1" customHeight="1">
      <c r="A38" s="70" t="s">
        <v>3238</v>
      </c>
      <c r="B38" s="76" t="s">
        <v>603</v>
      </c>
      <c r="C38" s="74" t="s">
        <v>3239</v>
      </c>
      <c r="D38" s="71" t="s">
        <v>605</v>
      </c>
      <c r="E38" s="70" t="s">
        <v>606</v>
      </c>
      <c r="F38" s="70" t="s">
        <v>691</v>
      </c>
    </row>
    <row r="39" spans="1:6" ht="26.1" customHeight="1">
      <c r="A39" s="70" t="s">
        <v>3240</v>
      </c>
      <c r="B39" s="76" t="s">
        <v>603</v>
      </c>
      <c r="C39" s="74" t="s">
        <v>3241</v>
      </c>
      <c r="D39" s="71" t="s">
        <v>605</v>
      </c>
      <c r="E39" s="70" t="s">
        <v>610</v>
      </c>
      <c r="F39" s="70" t="s">
        <v>1434</v>
      </c>
    </row>
    <row r="40" spans="1:6" ht="26.1" customHeight="1">
      <c r="A40" s="70" t="s">
        <v>3242</v>
      </c>
      <c r="B40" s="76" t="s">
        <v>603</v>
      </c>
      <c r="C40" s="70" t="s">
        <v>3243</v>
      </c>
      <c r="D40" s="71" t="s">
        <v>605</v>
      </c>
      <c r="E40" s="70" t="s">
        <v>804</v>
      </c>
      <c r="F40" s="70" t="s">
        <v>691</v>
      </c>
    </row>
    <row r="41" spans="1:6" ht="26.1" customHeight="1">
      <c r="A41" s="70" t="s">
        <v>3244</v>
      </c>
      <c r="B41" s="76" t="s">
        <v>603</v>
      </c>
      <c r="C41" s="70" t="s">
        <v>2957</v>
      </c>
      <c r="D41" s="71" t="s">
        <v>605</v>
      </c>
      <c r="E41" s="70" t="s">
        <v>606</v>
      </c>
      <c r="F41" s="70" t="s">
        <v>691</v>
      </c>
    </row>
    <row r="42" spans="1:6" ht="26.1" customHeight="1">
      <c r="A42" s="70" t="s">
        <v>3245</v>
      </c>
      <c r="B42" s="76" t="s">
        <v>603</v>
      </c>
      <c r="C42" s="74" t="s">
        <v>63</v>
      </c>
      <c r="D42" s="71" t="s">
        <v>605</v>
      </c>
      <c r="E42" s="70" t="s">
        <v>610</v>
      </c>
      <c r="F42" s="70" t="s">
        <v>607</v>
      </c>
    </row>
    <row r="43" spans="1:6" ht="26.1" customHeight="1">
      <c r="A43" s="70" t="s">
        <v>3246</v>
      </c>
      <c r="B43" s="76" t="s">
        <v>603</v>
      </c>
      <c r="C43" s="70" t="s">
        <v>3121</v>
      </c>
      <c r="D43" s="71" t="s">
        <v>605</v>
      </c>
      <c r="E43" s="70" t="s">
        <v>2661</v>
      </c>
      <c r="F43" s="70" t="s">
        <v>3052</v>
      </c>
    </row>
    <row r="44" spans="1:6" ht="26.1" customHeight="1">
      <c r="A44" s="70" t="s">
        <v>3247</v>
      </c>
      <c r="B44" s="76" t="s">
        <v>603</v>
      </c>
      <c r="C44" s="70" t="s">
        <v>629</v>
      </c>
      <c r="D44" s="71" t="s">
        <v>605</v>
      </c>
      <c r="E44" s="70" t="s">
        <v>2661</v>
      </c>
      <c r="F44" s="70" t="s">
        <v>607</v>
      </c>
    </row>
    <row r="45" spans="1:6" ht="26.1" customHeight="1">
      <c r="A45" s="70" t="s">
        <v>3248</v>
      </c>
      <c r="B45" s="76" t="s">
        <v>603</v>
      </c>
      <c r="C45" s="70" t="s">
        <v>3249</v>
      </c>
      <c r="D45" s="71" t="s">
        <v>605</v>
      </c>
      <c r="E45" s="70" t="s">
        <v>610</v>
      </c>
      <c r="F45" s="70" t="s">
        <v>3250</v>
      </c>
    </row>
    <row r="46" spans="1:6" ht="26.1" customHeight="1">
      <c r="A46" s="70" t="s">
        <v>3251</v>
      </c>
      <c r="B46" s="76" t="s">
        <v>603</v>
      </c>
      <c r="C46" s="74" t="s">
        <v>3252</v>
      </c>
      <c r="D46" s="71" t="s">
        <v>605</v>
      </c>
      <c r="E46" s="70" t="s">
        <v>606</v>
      </c>
      <c r="F46" s="70" t="s">
        <v>691</v>
      </c>
    </row>
    <row r="47" spans="1:6" ht="26.1" customHeight="1">
      <c r="A47" s="70" t="s">
        <v>247</v>
      </c>
      <c r="B47" s="75" t="s">
        <v>619</v>
      </c>
      <c r="C47" s="74" t="s">
        <v>3253</v>
      </c>
      <c r="D47" s="71" t="s">
        <v>605</v>
      </c>
      <c r="E47" s="70" t="s">
        <v>620</v>
      </c>
      <c r="F47" s="70" t="s">
        <v>3254</v>
      </c>
    </row>
    <row r="49" spans="3:4" ht="15">
      <c r="C49" s="78" t="s">
        <v>633</v>
      </c>
      <c r="D49" s="79" t="str">
        <f>COUNTIF(D2:D47,"☑")&amp;" / "&amp;COUNTA(A2:A47)</f>
        <v>0 / 46</v>
      </c>
    </row>
  </sheetData>
  <conditionalFormatting sqref="B2:B20">
    <cfRule type="expression" dxfId="39" priority="1">
      <formula>B2="A"</formula>
    </cfRule>
    <cfRule type="expression" dxfId="38" priority="2">
      <formula>B2="B"</formula>
    </cfRule>
    <cfRule type="expression" dxfId="37" priority="3">
      <formula>B2="C"</formula>
    </cfRule>
  </conditionalFormatting>
  <conditionalFormatting sqref="D2:D47">
    <cfRule type="expression" dxfId="36" priority="4">
      <formula>D2="☑"</formula>
    </cfRule>
  </conditionalFormatting>
  <dataValidations count="1">
    <dataValidation type="list" sqref="D2:D47" xr:uid="{00000000-0002-0000-2000-000000000000}">
      <formula1>"☐,☑"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51"/>
  <sheetViews>
    <sheetView workbookViewId="0"/>
  </sheetViews>
  <sheetFormatPr defaultRowHeight="14.25"/>
  <cols>
    <col min="1" max="1" width="34" customWidth="1"/>
    <col min="2" max="2" width="10" customWidth="1"/>
    <col min="3" max="3" width="48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69" t="s">
        <v>598</v>
      </c>
      <c r="B1" s="69" t="s">
        <v>599</v>
      </c>
      <c r="C1" s="69" t="s">
        <v>13</v>
      </c>
      <c r="D1" s="69" t="s">
        <v>3</v>
      </c>
      <c r="E1" s="69" t="s">
        <v>600</v>
      </c>
      <c r="F1" s="69" t="s">
        <v>601</v>
      </c>
    </row>
    <row r="2" spans="1:6" ht="26.1" customHeight="1">
      <c r="A2" s="70" t="s">
        <v>184</v>
      </c>
      <c r="B2" s="76" t="s">
        <v>603</v>
      </c>
      <c r="C2" s="70" t="s">
        <v>3255</v>
      </c>
      <c r="D2" s="71" t="s">
        <v>605</v>
      </c>
      <c r="E2" s="70" t="s">
        <v>3256</v>
      </c>
      <c r="F2" s="70" t="s">
        <v>691</v>
      </c>
    </row>
    <row r="3" spans="1:6" ht="26.1" customHeight="1">
      <c r="A3" s="70" t="s">
        <v>3257</v>
      </c>
      <c r="B3" s="76" t="s">
        <v>603</v>
      </c>
      <c r="C3" s="70" t="s">
        <v>3121</v>
      </c>
      <c r="D3" s="71" t="s">
        <v>605</v>
      </c>
      <c r="E3" s="70" t="s">
        <v>2661</v>
      </c>
      <c r="F3" s="70" t="s">
        <v>607</v>
      </c>
    </row>
    <row r="4" spans="1:6" ht="26.1" customHeight="1">
      <c r="A4" s="70" t="s">
        <v>3258</v>
      </c>
      <c r="B4" s="76" t="s">
        <v>603</v>
      </c>
      <c r="C4" s="70" t="s">
        <v>3259</v>
      </c>
      <c r="D4" s="71" t="s">
        <v>605</v>
      </c>
      <c r="E4" s="70" t="s">
        <v>2661</v>
      </c>
      <c r="F4" s="70" t="s">
        <v>607</v>
      </c>
    </row>
    <row r="5" spans="1:6" ht="26.1" customHeight="1">
      <c r="A5" s="70" t="s">
        <v>3260</v>
      </c>
      <c r="B5" s="76" t="s">
        <v>603</v>
      </c>
      <c r="C5" s="70" t="s">
        <v>650</v>
      </c>
      <c r="D5" s="71" t="s">
        <v>605</v>
      </c>
      <c r="E5" s="70" t="s">
        <v>688</v>
      </c>
      <c r="F5" s="70" t="s">
        <v>607</v>
      </c>
    </row>
    <row r="6" spans="1:6" ht="26.1" customHeight="1">
      <c r="A6" s="70" t="s">
        <v>3261</v>
      </c>
      <c r="B6" s="76" t="s">
        <v>603</v>
      </c>
      <c r="C6" s="70" t="s">
        <v>650</v>
      </c>
      <c r="D6" s="71" t="s">
        <v>605</v>
      </c>
      <c r="E6" s="70" t="s">
        <v>688</v>
      </c>
      <c r="F6" s="70" t="s">
        <v>607</v>
      </c>
    </row>
    <row r="7" spans="1:6" ht="26.1" customHeight="1">
      <c r="A7" s="70" t="s">
        <v>3262</v>
      </c>
      <c r="B7" s="76" t="s">
        <v>603</v>
      </c>
      <c r="C7" s="70" t="s">
        <v>3263</v>
      </c>
      <c r="D7" s="71" t="s">
        <v>605</v>
      </c>
      <c r="E7" s="70" t="s">
        <v>683</v>
      </c>
      <c r="F7" s="70" t="s">
        <v>3264</v>
      </c>
    </row>
    <row r="8" spans="1:6" ht="26.1" customHeight="1">
      <c r="A8" s="70" t="s">
        <v>3265</v>
      </c>
      <c r="B8" s="76" t="s">
        <v>603</v>
      </c>
      <c r="C8" s="70" t="s">
        <v>3266</v>
      </c>
      <c r="D8" s="71" t="s">
        <v>605</v>
      </c>
      <c r="E8" s="70" t="s">
        <v>610</v>
      </c>
      <c r="F8" s="70" t="s">
        <v>691</v>
      </c>
    </row>
    <row r="9" spans="1:6" ht="26.1" customHeight="1">
      <c r="A9" s="70" t="s">
        <v>3267</v>
      </c>
      <c r="B9" s="76" t="s">
        <v>603</v>
      </c>
      <c r="C9" s="70" t="s">
        <v>3268</v>
      </c>
      <c r="D9" s="71" t="s">
        <v>605</v>
      </c>
      <c r="E9" s="70" t="s">
        <v>610</v>
      </c>
      <c r="F9" s="70" t="s">
        <v>691</v>
      </c>
    </row>
    <row r="10" spans="1:6" ht="26.1" customHeight="1">
      <c r="A10" s="70" t="s">
        <v>3269</v>
      </c>
      <c r="B10" s="76" t="s">
        <v>603</v>
      </c>
      <c r="C10" s="70" t="s">
        <v>650</v>
      </c>
      <c r="D10" s="71" t="s">
        <v>605</v>
      </c>
      <c r="E10" s="70" t="s">
        <v>688</v>
      </c>
      <c r="F10" s="70" t="s">
        <v>607</v>
      </c>
    </row>
    <row r="11" spans="1:6" ht="26.1" customHeight="1">
      <c r="A11" s="70" t="s">
        <v>3270</v>
      </c>
      <c r="B11" s="76" t="s">
        <v>603</v>
      </c>
      <c r="C11" s="70" t="s">
        <v>3271</v>
      </c>
      <c r="D11" s="71" t="s">
        <v>605</v>
      </c>
      <c r="E11" s="70" t="s">
        <v>610</v>
      </c>
      <c r="F11" s="70" t="s">
        <v>691</v>
      </c>
    </row>
    <row r="12" spans="1:6" ht="26.1" customHeight="1">
      <c r="A12" s="70" t="s">
        <v>3272</v>
      </c>
      <c r="B12" s="76" t="s">
        <v>603</v>
      </c>
      <c r="C12" s="70" t="s">
        <v>3273</v>
      </c>
      <c r="D12" s="71" t="s">
        <v>605</v>
      </c>
      <c r="E12" s="70" t="s">
        <v>3274</v>
      </c>
      <c r="F12" s="70" t="s">
        <v>3275</v>
      </c>
    </row>
    <row r="13" spans="1:6" ht="26.1" customHeight="1">
      <c r="A13" s="70" t="s">
        <v>3276</v>
      </c>
      <c r="B13" s="76" t="s">
        <v>603</v>
      </c>
      <c r="C13" s="70" t="s">
        <v>632</v>
      </c>
      <c r="D13" s="71" t="s">
        <v>605</v>
      </c>
      <c r="E13" s="70" t="s">
        <v>2661</v>
      </c>
      <c r="F13" s="70" t="s">
        <v>607</v>
      </c>
    </row>
    <row r="14" spans="1:6" ht="26.1" customHeight="1">
      <c r="A14" s="70" t="s">
        <v>3277</v>
      </c>
      <c r="B14" s="76" t="s">
        <v>603</v>
      </c>
      <c r="C14" s="70" t="s">
        <v>1802</v>
      </c>
      <c r="D14" s="71" t="s">
        <v>605</v>
      </c>
      <c r="E14" s="70" t="s">
        <v>610</v>
      </c>
      <c r="F14" s="70" t="s">
        <v>691</v>
      </c>
    </row>
    <row r="15" spans="1:6" ht="26.1" customHeight="1">
      <c r="A15" s="70" t="s">
        <v>3278</v>
      </c>
      <c r="B15" s="76" t="s">
        <v>603</v>
      </c>
      <c r="C15" s="70" t="s">
        <v>3121</v>
      </c>
      <c r="D15" s="71" t="s">
        <v>605</v>
      </c>
      <c r="E15" s="70" t="s">
        <v>2661</v>
      </c>
      <c r="F15" s="70" t="s">
        <v>607</v>
      </c>
    </row>
    <row r="16" spans="1:6" ht="26.1" customHeight="1">
      <c r="A16" s="70" t="s">
        <v>3279</v>
      </c>
      <c r="B16" s="76" t="s">
        <v>603</v>
      </c>
      <c r="C16" s="70" t="s">
        <v>400</v>
      </c>
      <c r="D16" s="71" t="s">
        <v>605</v>
      </c>
      <c r="E16" s="70" t="s">
        <v>2661</v>
      </c>
      <c r="F16" s="70" t="s">
        <v>607</v>
      </c>
    </row>
    <row r="17" spans="1:6" ht="26.1" customHeight="1">
      <c r="A17" s="70" t="s">
        <v>3280</v>
      </c>
      <c r="B17" s="76" t="s">
        <v>603</v>
      </c>
      <c r="C17" s="70" t="s">
        <v>1666</v>
      </c>
      <c r="D17" s="71" t="s">
        <v>605</v>
      </c>
      <c r="E17" s="70" t="s">
        <v>876</v>
      </c>
      <c r="F17" s="70" t="s">
        <v>607</v>
      </c>
    </row>
    <row r="18" spans="1:6" ht="26.1" customHeight="1">
      <c r="A18" s="70" t="s">
        <v>3281</v>
      </c>
      <c r="B18" s="76" t="s">
        <v>603</v>
      </c>
      <c r="C18" s="70" t="s">
        <v>3282</v>
      </c>
      <c r="D18" s="71" t="s">
        <v>605</v>
      </c>
      <c r="E18" s="70" t="s">
        <v>610</v>
      </c>
      <c r="F18" s="70" t="s">
        <v>3283</v>
      </c>
    </row>
    <row r="19" spans="1:6" ht="26.1" customHeight="1">
      <c r="A19" s="70" t="s">
        <v>3284</v>
      </c>
      <c r="B19" s="76" t="s">
        <v>603</v>
      </c>
      <c r="C19" s="70" t="s">
        <v>609</v>
      </c>
      <c r="D19" s="71" t="s">
        <v>605</v>
      </c>
      <c r="E19" s="70" t="s">
        <v>606</v>
      </c>
      <c r="F19" s="70" t="s">
        <v>607</v>
      </c>
    </row>
    <row r="20" spans="1:6" ht="26.1" customHeight="1">
      <c r="A20" s="70" t="s">
        <v>3285</v>
      </c>
      <c r="B20" s="76" t="s">
        <v>603</v>
      </c>
      <c r="C20" s="70" t="s">
        <v>3084</v>
      </c>
      <c r="D20" s="71" t="s">
        <v>605</v>
      </c>
      <c r="E20" s="70" t="s">
        <v>610</v>
      </c>
      <c r="F20" s="70" t="s">
        <v>691</v>
      </c>
    </row>
    <row r="21" spans="1:6" ht="26.1" customHeight="1">
      <c r="A21" s="70" t="s">
        <v>3286</v>
      </c>
      <c r="B21" s="75" t="s">
        <v>619</v>
      </c>
      <c r="C21" s="70" t="s">
        <v>3287</v>
      </c>
      <c r="D21" s="71" t="s">
        <v>605</v>
      </c>
      <c r="E21" s="70" t="s">
        <v>804</v>
      </c>
      <c r="F21" s="70" t="s">
        <v>3288</v>
      </c>
    </row>
    <row r="22" spans="1:6" ht="26.1" customHeight="1">
      <c r="A22" s="70" t="s">
        <v>3289</v>
      </c>
      <c r="B22" s="76" t="s">
        <v>603</v>
      </c>
      <c r="C22" s="70" t="s">
        <v>3290</v>
      </c>
      <c r="D22" s="71" t="s">
        <v>605</v>
      </c>
      <c r="E22" s="70" t="s">
        <v>804</v>
      </c>
      <c r="F22" s="70" t="s">
        <v>2333</v>
      </c>
    </row>
    <row r="23" spans="1:6" ht="26.1" customHeight="1">
      <c r="A23" s="70" t="s">
        <v>3291</v>
      </c>
      <c r="B23" s="76" t="s">
        <v>603</v>
      </c>
      <c r="C23" s="70" t="s">
        <v>3292</v>
      </c>
      <c r="D23" s="71" t="s">
        <v>605</v>
      </c>
      <c r="E23" s="70" t="s">
        <v>610</v>
      </c>
      <c r="F23" s="70" t="s">
        <v>2575</v>
      </c>
    </row>
    <row r="24" spans="1:6" ht="26.1" customHeight="1">
      <c r="A24" s="70" t="s">
        <v>3293</v>
      </c>
      <c r="B24" s="75" t="s">
        <v>619</v>
      </c>
      <c r="C24" s="70" t="s">
        <v>3294</v>
      </c>
      <c r="D24" s="71" t="s">
        <v>605</v>
      </c>
      <c r="E24" s="70" t="s">
        <v>620</v>
      </c>
      <c r="F24" s="70" t="s">
        <v>3295</v>
      </c>
    </row>
    <row r="25" spans="1:6" ht="26.1" customHeight="1">
      <c r="A25" s="70" t="s">
        <v>3296</v>
      </c>
      <c r="B25" s="76" t="s">
        <v>603</v>
      </c>
      <c r="C25" s="70" t="s">
        <v>650</v>
      </c>
      <c r="D25" s="71" t="s">
        <v>605</v>
      </c>
      <c r="E25" s="70" t="s">
        <v>688</v>
      </c>
      <c r="F25" s="70" t="s">
        <v>607</v>
      </c>
    </row>
    <row r="26" spans="1:6" ht="26.1" customHeight="1">
      <c r="A26" s="70" t="s">
        <v>3297</v>
      </c>
      <c r="B26" s="76" t="s">
        <v>603</v>
      </c>
      <c r="C26" s="72" t="s">
        <v>609</v>
      </c>
      <c r="D26" s="73" t="s">
        <v>605</v>
      </c>
      <c r="E26" s="70" t="s">
        <v>610</v>
      </c>
      <c r="F26" s="70" t="s">
        <v>607</v>
      </c>
    </row>
    <row r="27" spans="1:6" ht="26.1" customHeight="1">
      <c r="A27" s="70" t="s">
        <v>3298</v>
      </c>
      <c r="B27" s="76" t="s">
        <v>603</v>
      </c>
      <c r="C27" s="72" t="s">
        <v>3299</v>
      </c>
      <c r="D27" s="73" t="s">
        <v>605</v>
      </c>
      <c r="E27" s="70" t="s">
        <v>3300</v>
      </c>
      <c r="F27" s="70" t="s">
        <v>2416</v>
      </c>
    </row>
    <row r="28" spans="1:6" ht="26.1" customHeight="1">
      <c r="A28" s="70" t="s">
        <v>3301</v>
      </c>
      <c r="B28" s="76" t="s">
        <v>603</v>
      </c>
      <c r="C28" s="72" t="s">
        <v>3302</v>
      </c>
      <c r="D28" s="73" t="s">
        <v>605</v>
      </c>
      <c r="E28" s="70" t="s">
        <v>804</v>
      </c>
      <c r="F28" s="70" t="s">
        <v>3303</v>
      </c>
    </row>
    <row r="29" spans="1:6" ht="26.1" customHeight="1">
      <c r="A29" s="70" t="s">
        <v>271</v>
      </c>
      <c r="B29" s="76" t="s">
        <v>603</v>
      </c>
      <c r="C29" s="72" t="s">
        <v>3304</v>
      </c>
      <c r="D29" s="73" t="s">
        <v>605</v>
      </c>
      <c r="E29" s="70" t="s">
        <v>804</v>
      </c>
      <c r="F29" s="70" t="s">
        <v>3305</v>
      </c>
    </row>
    <row r="30" spans="1:6" ht="26.1" customHeight="1">
      <c r="A30" s="70" t="s">
        <v>3306</v>
      </c>
      <c r="B30" s="76" t="s">
        <v>603</v>
      </c>
      <c r="C30" s="72" t="s">
        <v>650</v>
      </c>
      <c r="D30" s="73" t="s">
        <v>605</v>
      </c>
      <c r="E30" s="70" t="s">
        <v>3102</v>
      </c>
      <c r="F30" s="70" t="s">
        <v>607</v>
      </c>
    </row>
    <row r="31" spans="1:6" ht="26.1" customHeight="1">
      <c r="A31" s="70" t="s">
        <v>3307</v>
      </c>
      <c r="B31" s="76" t="s">
        <v>603</v>
      </c>
      <c r="C31" s="72" t="s">
        <v>3308</v>
      </c>
      <c r="D31" s="73" t="s">
        <v>605</v>
      </c>
      <c r="E31" s="70" t="s">
        <v>2661</v>
      </c>
      <c r="F31" s="70" t="s">
        <v>3181</v>
      </c>
    </row>
    <row r="32" spans="1:6" ht="26.1" customHeight="1">
      <c r="A32" s="70" t="s">
        <v>3309</v>
      </c>
      <c r="B32" s="76" t="s">
        <v>603</v>
      </c>
      <c r="C32" s="72" t="s">
        <v>632</v>
      </c>
      <c r="D32" s="73" t="s">
        <v>605</v>
      </c>
      <c r="E32" s="70" t="s">
        <v>2661</v>
      </c>
      <c r="F32" s="70" t="s">
        <v>607</v>
      </c>
    </row>
    <row r="33" spans="1:6" ht="26.1" customHeight="1">
      <c r="A33" s="70" t="s">
        <v>3310</v>
      </c>
      <c r="B33" s="76" t="s">
        <v>603</v>
      </c>
      <c r="C33" s="72" t="s">
        <v>3311</v>
      </c>
      <c r="D33" s="73" t="s">
        <v>605</v>
      </c>
      <c r="E33" s="70" t="s">
        <v>3312</v>
      </c>
      <c r="F33" s="70" t="s">
        <v>691</v>
      </c>
    </row>
    <row r="34" spans="1:6" ht="26.1" customHeight="1">
      <c r="A34" s="70" t="s">
        <v>3313</v>
      </c>
      <c r="B34" s="76" t="s">
        <v>603</v>
      </c>
      <c r="C34" s="72" t="s">
        <v>3314</v>
      </c>
      <c r="D34" s="73" t="s">
        <v>605</v>
      </c>
      <c r="E34" s="70" t="s">
        <v>606</v>
      </c>
      <c r="F34" s="70" t="s">
        <v>691</v>
      </c>
    </row>
    <row r="35" spans="1:6" ht="26.1" customHeight="1">
      <c r="A35" s="70" t="s">
        <v>3033</v>
      </c>
      <c r="B35" s="76" t="s">
        <v>603</v>
      </c>
      <c r="C35" s="72" t="s">
        <v>3034</v>
      </c>
      <c r="D35" s="73" t="s">
        <v>605</v>
      </c>
      <c r="E35" s="70" t="s">
        <v>610</v>
      </c>
      <c r="F35" s="70" t="s">
        <v>607</v>
      </c>
    </row>
    <row r="36" spans="1:6" ht="26.1" customHeight="1">
      <c r="A36" s="70" t="s">
        <v>308</v>
      </c>
      <c r="B36" s="76" t="s">
        <v>603</v>
      </c>
      <c r="C36" s="72" t="s">
        <v>632</v>
      </c>
      <c r="D36" s="73" t="s">
        <v>605</v>
      </c>
      <c r="E36" s="70" t="s">
        <v>610</v>
      </c>
      <c r="F36" s="70" t="s">
        <v>3315</v>
      </c>
    </row>
    <row r="37" spans="1:6" ht="26.1" customHeight="1">
      <c r="A37" s="70" t="s">
        <v>3316</v>
      </c>
      <c r="B37" s="76" t="s">
        <v>603</v>
      </c>
      <c r="C37" s="72" t="s">
        <v>3317</v>
      </c>
      <c r="D37" s="73" t="s">
        <v>605</v>
      </c>
      <c r="E37" s="70" t="s">
        <v>3318</v>
      </c>
      <c r="F37" s="70" t="s">
        <v>607</v>
      </c>
    </row>
    <row r="38" spans="1:6" ht="26.1" customHeight="1">
      <c r="A38" s="70" t="s">
        <v>3319</v>
      </c>
      <c r="B38" s="76" t="s">
        <v>603</v>
      </c>
      <c r="C38" s="74" t="s">
        <v>3320</v>
      </c>
      <c r="D38" s="71" t="s">
        <v>605</v>
      </c>
      <c r="E38" s="70" t="s">
        <v>610</v>
      </c>
      <c r="F38" s="70" t="s">
        <v>691</v>
      </c>
    </row>
    <row r="39" spans="1:6" ht="26.1" customHeight="1">
      <c r="A39" s="70" t="s">
        <v>3321</v>
      </c>
      <c r="B39" s="76" t="s">
        <v>603</v>
      </c>
      <c r="C39" s="70" t="s">
        <v>1802</v>
      </c>
      <c r="D39" s="71" t="s">
        <v>605</v>
      </c>
      <c r="E39" s="70" t="s">
        <v>610</v>
      </c>
      <c r="F39" s="70" t="s">
        <v>2606</v>
      </c>
    </row>
    <row r="40" spans="1:6" ht="26.1" customHeight="1">
      <c r="A40" s="70" t="s">
        <v>3322</v>
      </c>
      <c r="B40" s="76" t="s">
        <v>603</v>
      </c>
      <c r="C40" s="74" t="s">
        <v>3323</v>
      </c>
      <c r="D40" s="71" t="s">
        <v>605</v>
      </c>
      <c r="E40" s="70" t="s">
        <v>606</v>
      </c>
      <c r="F40" s="70" t="s">
        <v>691</v>
      </c>
    </row>
    <row r="41" spans="1:6" ht="26.1" customHeight="1">
      <c r="A41" s="70" t="s">
        <v>3324</v>
      </c>
      <c r="B41" s="76" t="s">
        <v>603</v>
      </c>
      <c r="C41" s="74" t="s">
        <v>3325</v>
      </c>
      <c r="D41" s="71" t="s">
        <v>605</v>
      </c>
      <c r="E41" s="70" t="s">
        <v>3227</v>
      </c>
      <c r="F41" s="70" t="s">
        <v>3326</v>
      </c>
    </row>
    <row r="42" spans="1:6" ht="26.1" customHeight="1">
      <c r="A42" s="70" t="s">
        <v>3327</v>
      </c>
      <c r="B42" s="76" t="s">
        <v>603</v>
      </c>
      <c r="C42" s="74" t="s">
        <v>3328</v>
      </c>
      <c r="D42" s="71" t="s">
        <v>605</v>
      </c>
      <c r="E42" s="70" t="s">
        <v>610</v>
      </c>
      <c r="F42" s="70" t="s">
        <v>3329</v>
      </c>
    </row>
    <row r="43" spans="1:6" ht="26.1" customHeight="1">
      <c r="A43" s="70" t="s">
        <v>3330</v>
      </c>
      <c r="B43" s="76" t="s">
        <v>603</v>
      </c>
      <c r="C43" s="70" t="s">
        <v>609</v>
      </c>
      <c r="D43" s="71" t="s">
        <v>605</v>
      </c>
      <c r="E43" s="70" t="s">
        <v>911</v>
      </c>
      <c r="F43" s="70" t="s">
        <v>607</v>
      </c>
    </row>
    <row r="44" spans="1:6" ht="26.1" customHeight="1">
      <c r="A44" s="70" t="s">
        <v>131</v>
      </c>
      <c r="B44" s="76" t="s">
        <v>603</v>
      </c>
      <c r="C44" s="70" t="s">
        <v>3331</v>
      </c>
      <c r="D44" s="71" t="s">
        <v>605</v>
      </c>
      <c r="E44" s="70" t="s">
        <v>610</v>
      </c>
      <c r="F44" s="70" t="s">
        <v>2427</v>
      </c>
    </row>
    <row r="45" spans="1:6" ht="26.1" customHeight="1">
      <c r="A45" s="70" t="s">
        <v>3332</v>
      </c>
      <c r="B45" s="76" t="s">
        <v>603</v>
      </c>
      <c r="C45" s="70" t="s">
        <v>629</v>
      </c>
      <c r="D45" s="71" t="s">
        <v>605</v>
      </c>
      <c r="E45" s="70" t="s">
        <v>2661</v>
      </c>
      <c r="F45" s="70" t="s">
        <v>607</v>
      </c>
    </row>
    <row r="46" spans="1:6" ht="26.1" customHeight="1">
      <c r="A46" s="70" t="s">
        <v>3333</v>
      </c>
      <c r="B46" s="76" t="s">
        <v>603</v>
      </c>
      <c r="C46" s="70" t="s">
        <v>3334</v>
      </c>
      <c r="D46" s="71" t="s">
        <v>605</v>
      </c>
      <c r="E46" s="70" t="s">
        <v>606</v>
      </c>
      <c r="F46" s="70" t="s">
        <v>1434</v>
      </c>
    </row>
    <row r="47" spans="1:6" ht="26.1" customHeight="1">
      <c r="A47" s="70" t="s">
        <v>3335</v>
      </c>
      <c r="B47" s="76" t="s">
        <v>603</v>
      </c>
      <c r="C47" s="70" t="s">
        <v>609</v>
      </c>
      <c r="D47" s="71" t="s">
        <v>605</v>
      </c>
      <c r="E47" s="70" t="s">
        <v>2661</v>
      </c>
      <c r="F47" s="70" t="s">
        <v>607</v>
      </c>
    </row>
    <row r="48" spans="1:6" ht="26.1" customHeight="1">
      <c r="A48" s="70" t="s">
        <v>3336</v>
      </c>
      <c r="B48" s="76" t="s">
        <v>603</v>
      </c>
      <c r="C48" s="70" t="s">
        <v>3337</v>
      </c>
      <c r="D48" s="71" t="s">
        <v>605</v>
      </c>
      <c r="E48" s="70" t="s">
        <v>610</v>
      </c>
      <c r="F48" s="70" t="s">
        <v>691</v>
      </c>
    </row>
    <row r="49" spans="1:6" ht="26.1" customHeight="1">
      <c r="A49" s="70" t="s">
        <v>3338</v>
      </c>
      <c r="B49" s="76" t="s">
        <v>603</v>
      </c>
      <c r="C49" s="74" t="s">
        <v>3339</v>
      </c>
      <c r="D49" s="71" t="s">
        <v>605</v>
      </c>
      <c r="E49" s="70" t="s">
        <v>606</v>
      </c>
      <c r="F49" s="70" t="s">
        <v>691</v>
      </c>
    </row>
    <row r="50" spans="1:6" ht="15">
      <c r="C50" s="53"/>
      <c r="D50" s="54"/>
    </row>
    <row r="51" spans="1:6" ht="15">
      <c r="C51" s="78" t="s">
        <v>633</v>
      </c>
      <c r="D51" s="79" t="str">
        <f>COUNTIF(D2:D49,"☑")&amp;" / "&amp;COUNTA(A2:A49)</f>
        <v>0 / 48</v>
      </c>
    </row>
  </sheetData>
  <conditionalFormatting sqref="B2:B24">
    <cfRule type="expression" dxfId="35" priority="1">
      <formula>B2="A"</formula>
    </cfRule>
    <cfRule type="expression" dxfId="34" priority="2">
      <formula>B2="B"</formula>
    </cfRule>
    <cfRule type="expression" dxfId="33" priority="3">
      <formula>B2="C"</formula>
    </cfRule>
  </conditionalFormatting>
  <conditionalFormatting sqref="D2:D49">
    <cfRule type="expression" dxfId="32" priority="4">
      <formula>D2="☑"</formula>
    </cfRule>
  </conditionalFormatting>
  <dataValidations count="1">
    <dataValidation type="list" sqref="D2:D49" xr:uid="{00000000-0002-0000-2100-000000000000}">
      <formula1>"☐,☑"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48"/>
  <sheetViews>
    <sheetView workbookViewId="0">
      <selection activeCell="D28" sqref="D28"/>
    </sheetView>
  </sheetViews>
  <sheetFormatPr defaultRowHeight="14.25"/>
  <cols>
    <col min="1" max="1" width="34" customWidth="1"/>
    <col min="2" max="2" width="10" customWidth="1"/>
    <col min="3" max="3" width="48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69" t="s">
        <v>598</v>
      </c>
      <c r="B1" s="69" t="s">
        <v>599</v>
      </c>
      <c r="C1" s="69" t="s">
        <v>13</v>
      </c>
      <c r="D1" s="69" t="s">
        <v>3</v>
      </c>
      <c r="E1" s="69" t="s">
        <v>600</v>
      </c>
      <c r="F1" s="69" t="s">
        <v>601</v>
      </c>
    </row>
    <row r="2" spans="1:6" ht="26.1" customHeight="1">
      <c r="A2" s="70" t="s">
        <v>3340</v>
      </c>
      <c r="B2" s="76" t="s">
        <v>603</v>
      </c>
      <c r="C2" s="70" t="s">
        <v>3341</v>
      </c>
      <c r="D2" s="71" t="s">
        <v>605</v>
      </c>
      <c r="E2" s="70" t="s">
        <v>606</v>
      </c>
      <c r="F2" s="70" t="s">
        <v>3342</v>
      </c>
    </row>
    <row r="3" spans="1:6" ht="26.1" customHeight="1">
      <c r="A3" s="70" t="s">
        <v>3343</v>
      </c>
      <c r="B3" s="76" t="s">
        <v>603</v>
      </c>
      <c r="C3" s="70" t="s">
        <v>609</v>
      </c>
      <c r="D3" s="71" t="s">
        <v>605</v>
      </c>
      <c r="E3" s="70" t="s">
        <v>2661</v>
      </c>
      <c r="F3" s="70" t="s">
        <v>607</v>
      </c>
    </row>
    <row r="4" spans="1:6" ht="26.1" customHeight="1">
      <c r="A4" s="70" t="s">
        <v>3344</v>
      </c>
      <c r="B4" s="76" t="s">
        <v>603</v>
      </c>
      <c r="C4" s="70" t="s">
        <v>3345</v>
      </c>
      <c r="D4" s="71" t="s">
        <v>605</v>
      </c>
      <c r="E4" s="70" t="s">
        <v>804</v>
      </c>
      <c r="F4" s="70" t="s">
        <v>3346</v>
      </c>
    </row>
    <row r="5" spans="1:6" ht="26.1" customHeight="1">
      <c r="A5" s="70" t="s">
        <v>371</v>
      </c>
      <c r="B5" s="76" t="s">
        <v>603</v>
      </c>
      <c r="C5" s="70" t="s">
        <v>632</v>
      </c>
      <c r="D5" s="71" t="s">
        <v>605</v>
      </c>
      <c r="E5" s="70" t="s">
        <v>610</v>
      </c>
      <c r="F5" s="70" t="s">
        <v>607</v>
      </c>
    </row>
    <row r="6" spans="1:6" ht="26.1" customHeight="1">
      <c r="A6" s="70" t="s">
        <v>3347</v>
      </c>
      <c r="B6" s="76" t="s">
        <v>603</v>
      </c>
      <c r="C6" s="70" t="s">
        <v>2304</v>
      </c>
      <c r="D6" s="71" t="s">
        <v>605</v>
      </c>
      <c r="E6" s="70" t="s">
        <v>613</v>
      </c>
      <c r="F6" s="70" t="s">
        <v>607</v>
      </c>
    </row>
    <row r="7" spans="1:6" ht="26.1" customHeight="1">
      <c r="A7" s="70" t="s">
        <v>3348</v>
      </c>
      <c r="B7" s="76" t="s">
        <v>603</v>
      </c>
      <c r="C7" s="70" t="s">
        <v>1963</v>
      </c>
      <c r="D7" s="71" t="s">
        <v>605</v>
      </c>
      <c r="E7" s="70" t="s">
        <v>610</v>
      </c>
      <c r="F7" s="70" t="s">
        <v>607</v>
      </c>
    </row>
    <row r="8" spans="1:6" ht="26.1" customHeight="1">
      <c r="A8" s="70" t="s">
        <v>495</v>
      </c>
      <c r="B8" s="76" t="s">
        <v>603</v>
      </c>
      <c r="C8" s="70" t="s">
        <v>3349</v>
      </c>
      <c r="D8" s="71" t="s">
        <v>605</v>
      </c>
      <c r="E8" s="70" t="s">
        <v>3350</v>
      </c>
      <c r="F8" s="70" t="s">
        <v>3351</v>
      </c>
    </row>
    <row r="9" spans="1:6" ht="26.1" customHeight="1">
      <c r="A9" s="70" t="s">
        <v>3352</v>
      </c>
      <c r="B9" s="75" t="s">
        <v>619</v>
      </c>
      <c r="C9" s="70" t="s">
        <v>3353</v>
      </c>
      <c r="D9" s="71" t="s">
        <v>605</v>
      </c>
      <c r="E9" s="70" t="s">
        <v>3312</v>
      </c>
      <c r="F9" s="70" t="s">
        <v>2416</v>
      </c>
    </row>
    <row r="10" spans="1:6" ht="26.1" customHeight="1">
      <c r="A10" s="70" t="s">
        <v>3354</v>
      </c>
      <c r="B10" s="76" t="s">
        <v>603</v>
      </c>
      <c r="C10" s="70" t="s">
        <v>609</v>
      </c>
      <c r="D10" s="71" t="s">
        <v>605</v>
      </c>
      <c r="E10" s="70" t="s">
        <v>606</v>
      </c>
      <c r="F10" s="70" t="s">
        <v>607</v>
      </c>
    </row>
    <row r="11" spans="1:6" ht="26.1" customHeight="1">
      <c r="A11" s="70" t="s">
        <v>3355</v>
      </c>
      <c r="B11" s="75" t="s">
        <v>619</v>
      </c>
      <c r="C11" s="70" t="s">
        <v>3356</v>
      </c>
      <c r="D11" s="71" t="s">
        <v>605</v>
      </c>
      <c r="E11" s="70" t="s">
        <v>2661</v>
      </c>
      <c r="F11" s="70" t="s">
        <v>870</v>
      </c>
    </row>
    <row r="12" spans="1:6" ht="26.1" customHeight="1">
      <c r="A12" s="70" t="s">
        <v>3357</v>
      </c>
      <c r="B12" s="76" t="s">
        <v>603</v>
      </c>
      <c r="C12" s="70" t="s">
        <v>3358</v>
      </c>
      <c r="D12" s="71" t="s">
        <v>605</v>
      </c>
      <c r="E12" s="70" t="s">
        <v>610</v>
      </c>
      <c r="F12" s="70" t="s">
        <v>3359</v>
      </c>
    </row>
    <row r="13" spans="1:6" ht="26.1" customHeight="1">
      <c r="A13" s="70" t="s">
        <v>3360</v>
      </c>
      <c r="B13" s="77" t="s">
        <v>615</v>
      </c>
      <c r="C13" s="70" t="s">
        <v>3361</v>
      </c>
      <c r="D13" s="71" t="s">
        <v>605</v>
      </c>
      <c r="E13" s="70" t="s">
        <v>3362</v>
      </c>
      <c r="F13" s="70" t="s">
        <v>3363</v>
      </c>
    </row>
    <row r="14" spans="1:6" ht="26.1" customHeight="1">
      <c r="A14" s="70" t="s">
        <v>3364</v>
      </c>
      <c r="B14" s="76" t="s">
        <v>603</v>
      </c>
      <c r="C14" s="70" t="s">
        <v>650</v>
      </c>
      <c r="D14" s="71" t="s">
        <v>605</v>
      </c>
      <c r="E14" s="70" t="s">
        <v>3102</v>
      </c>
      <c r="F14" s="70" t="s">
        <v>607</v>
      </c>
    </row>
    <row r="15" spans="1:6" ht="26.1" customHeight="1">
      <c r="A15" s="70" t="s">
        <v>3365</v>
      </c>
      <c r="B15" s="76" t="s">
        <v>603</v>
      </c>
      <c r="C15" s="70" t="s">
        <v>3366</v>
      </c>
      <c r="D15" s="71" t="s">
        <v>605</v>
      </c>
      <c r="E15" s="70" t="s">
        <v>610</v>
      </c>
      <c r="F15" s="70" t="s">
        <v>691</v>
      </c>
    </row>
    <row r="16" spans="1:6" ht="26.1" customHeight="1">
      <c r="A16" s="70" t="s">
        <v>3367</v>
      </c>
      <c r="B16" s="75" t="s">
        <v>619</v>
      </c>
      <c r="C16" s="70" t="s">
        <v>629</v>
      </c>
      <c r="D16" s="71" t="s">
        <v>605</v>
      </c>
      <c r="E16" s="70" t="s">
        <v>620</v>
      </c>
      <c r="F16" s="70" t="s">
        <v>607</v>
      </c>
    </row>
    <row r="17" spans="1:6" ht="26.1" customHeight="1">
      <c r="A17" s="70" t="s">
        <v>3368</v>
      </c>
      <c r="B17" s="76" t="s">
        <v>603</v>
      </c>
      <c r="C17" s="70" t="s">
        <v>1461</v>
      </c>
      <c r="D17" s="71" t="s">
        <v>605</v>
      </c>
      <c r="E17" s="70" t="s">
        <v>2661</v>
      </c>
      <c r="F17" s="70" t="s">
        <v>607</v>
      </c>
    </row>
    <row r="18" spans="1:6" ht="26.1" customHeight="1">
      <c r="A18" s="70" t="s">
        <v>3369</v>
      </c>
      <c r="B18" s="76" t="s">
        <v>603</v>
      </c>
      <c r="C18" s="70" t="s">
        <v>1802</v>
      </c>
      <c r="D18" s="71" t="s">
        <v>605</v>
      </c>
      <c r="E18" s="70" t="s">
        <v>610</v>
      </c>
      <c r="F18" s="70" t="s">
        <v>1434</v>
      </c>
    </row>
    <row r="19" spans="1:6" ht="26.1" customHeight="1">
      <c r="A19" s="70" t="s">
        <v>239</v>
      </c>
      <c r="B19" s="77" t="s">
        <v>615</v>
      </c>
      <c r="C19" s="70" t="s">
        <v>3370</v>
      </c>
      <c r="D19" s="71" t="s">
        <v>605</v>
      </c>
      <c r="E19" s="70" t="s">
        <v>617</v>
      </c>
      <c r="F19" s="70" t="s">
        <v>3371</v>
      </c>
    </row>
    <row r="20" spans="1:6" ht="26.1" customHeight="1">
      <c r="A20" s="70" t="s">
        <v>3372</v>
      </c>
      <c r="B20" s="76" t="s">
        <v>603</v>
      </c>
      <c r="C20" s="70" t="s">
        <v>3373</v>
      </c>
      <c r="D20" s="71" t="s">
        <v>605</v>
      </c>
      <c r="E20" s="70" t="s">
        <v>610</v>
      </c>
      <c r="F20" s="70" t="s">
        <v>691</v>
      </c>
    </row>
    <row r="21" spans="1:6" ht="26.1" customHeight="1">
      <c r="A21" s="70" t="s">
        <v>3374</v>
      </c>
      <c r="B21" s="77" t="s">
        <v>615</v>
      </c>
      <c r="C21" s="70" t="s">
        <v>3375</v>
      </c>
      <c r="D21" s="71" t="s">
        <v>605</v>
      </c>
      <c r="E21" s="70" t="s">
        <v>617</v>
      </c>
      <c r="F21" s="70" t="s">
        <v>3376</v>
      </c>
    </row>
    <row r="22" spans="1:6" ht="26.1" customHeight="1">
      <c r="A22" s="70" t="s">
        <v>3377</v>
      </c>
      <c r="B22" s="76" t="s">
        <v>603</v>
      </c>
      <c r="C22" s="70" t="s">
        <v>3191</v>
      </c>
      <c r="D22" s="71" t="s">
        <v>605</v>
      </c>
      <c r="E22" s="70" t="s">
        <v>606</v>
      </c>
      <c r="F22" s="70" t="s">
        <v>691</v>
      </c>
    </row>
    <row r="23" spans="1:6" ht="26.1" customHeight="1">
      <c r="A23" s="70" t="s">
        <v>3378</v>
      </c>
      <c r="B23" s="76" t="s">
        <v>603</v>
      </c>
      <c r="C23" s="70" t="s">
        <v>3379</v>
      </c>
      <c r="D23" s="71" t="s">
        <v>605</v>
      </c>
      <c r="E23" s="70" t="s">
        <v>2661</v>
      </c>
      <c r="F23" s="70" t="s">
        <v>607</v>
      </c>
    </row>
    <row r="24" spans="1:6" ht="26.1" customHeight="1">
      <c r="A24" s="70" t="s">
        <v>3380</v>
      </c>
      <c r="B24" s="76" t="s">
        <v>603</v>
      </c>
      <c r="C24" s="72" t="s">
        <v>3381</v>
      </c>
      <c r="D24" s="73" t="s">
        <v>605</v>
      </c>
      <c r="E24" s="70" t="s">
        <v>606</v>
      </c>
      <c r="F24" s="70" t="s">
        <v>691</v>
      </c>
    </row>
    <row r="25" spans="1:6" ht="26.1" customHeight="1">
      <c r="A25" s="70" t="s">
        <v>3382</v>
      </c>
      <c r="B25" s="76" t="s">
        <v>603</v>
      </c>
      <c r="C25" s="72" t="s">
        <v>3383</v>
      </c>
      <c r="D25" s="73" t="s">
        <v>605</v>
      </c>
      <c r="E25" s="70" t="s">
        <v>610</v>
      </c>
      <c r="F25" s="70" t="s">
        <v>691</v>
      </c>
    </row>
    <row r="26" spans="1:6" ht="26.1" customHeight="1">
      <c r="A26" s="70" t="s">
        <v>3384</v>
      </c>
      <c r="B26" s="76" t="s">
        <v>603</v>
      </c>
      <c r="C26" s="72" t="s">
        <v>3385</v>
      </c>
      <c r="D26" s="73" t="s">
        <v>605</v>
      </c>
      <c r="E26" s="70" t="s">
        <v>3235</v>
      </c>
      <c r="F26" s="70" t="s">
        <v>2416</v>
      </c>
    </row>
    <row r="27" spans="1:6" ht="26.1" customHeight="1">
      <c r="A27" s="70" t="s">
        <v>3386</v>
      </c>
      <c r="B27" s="75" t="s">
        <v>619</v>
      </c>
      <c r="C27" s="72" t="s">
        <v>3387</v>
      </c>
      <c r="D27" s="73" t="s">
        <v>605</v>
      </c>
      <c r="E27" s="70" t="s">
        <v>3146</v>
      </c>
      <c r="F27" s="70" t="s">
        <v>691</v>
      </c>
    </row>
    <row r="28" spans="1:6" ht="26.1" customHeight="1">
      <c r="A28" s="70" t="s">
        <v>202</v>
      </c>
      <c r="B28" s="76" t="s">
        <v>603</v>
      </c>
      <c r="C28" s="72" t="s">
        <v>3388</v>
      </c>
      <c r="D28" s="73" t="s">
        <v>3422</v>
      </c>
      <c r="E28" s="70" t="s">
        <v>2975</v>
      </c>
      <c r="F28" s="70" t="s">
        <v>3389</v>
      </c>
    </row>
    <row r="29" spans="1:6" ht="26.1" customHeight="1">
      <c r="A29" s="70" t="s">
        <v>3390</v>
      </c>
      <c r="B29" s="76" t="s">
        <v>603</v>
      </c>
      <c r="C29" s="72" t="s">
        <v>3121</v>
      </c>
      <c r="D29" s="73" t="s">
        <v>605</v>
      </c>
      <c r="E29" s="70" t="s">
        <v>2661</v>
      </c>
      <c r="F29" s="70" t="s">
        <v>607</v>
      </c>
    </row>
    <row r="30" spans="1:6" ht="26.1" customHeight="1">
      <c r="A30" s="70" t="s">
        <v>225</v>
      </c>
      <c r="B30" s="76" t="s">
        <v>603</v>
      </c>
      <c r="C30" s="72" t="s">
        <v>3391</v>
      </c>
      <c r="D30" s="73" t="s">
        <v>605</v>
      </c>
      <c r="E30" s="70" t="s">
        <v>3392</v>
      </c>
      <c r="F30" s="70" t="s">
        <v>3393</v>
      </c>
    </row>
    <row r="31" spans="1:6" ht="26.1" customHeight="1">
      <c r="A31" s="70" t="s">
        <v>3394</v>
      </c>
      <c r="B31" s="76" t="s">
        <v>603</v>
      </c>
      <c r="C31" s="72" t="s">
        <v>3395</v>
      </c>
      <c r="D31" s="73" t="s">
        <v>605</v>
      </c>
      <c r="E31" s="70" t="s">
        <v>610</v>
      </c>
      <c r="F31" s="70" t="s">
        <v>691</v>
      </c>
    </row>
    <row r="32" spans="1:6" ht="26.1" customHeight="1">
      <c r="A32" s="70" t="s">
        <v>3396</v>
      </c>
      <c r="B32" s="76" t="s">
        <v>603</v>
      </c>
      <c r="C32" s="72" t="s">
        <v>629</v>
      </c>
      <c r="D32" s="73" t="s">
        <v>605</v>
      </c>
      <c r="E32" s="70" t="s">
        <v>2661</v>
      </c>
      <c r="F32" s="70" t="s">
        <v>607</v>
      </c>
    </row>
    <row r="33" spans="1:6" ht="26.1" customHeight="1">
      <c r="A33" s="70" t="s">
        <v>3397</v>
      </c>
      <c r="B33" s="76" t="s">
        <v>603</v>
      </c>
      <c r="C33" s="72" t="s">
        <v>3398</v>
      </c>
      <c r="D33" s="73" t="s">
        <v>605</v>
      </c>
      <c r="E33" s="70" t="s">
        <v>610</v>
      </c>
      <c r="F33" s="70" t="s">
        <v>3399</v>
      </c>
    </row>
    <row r="34" spans="1:6" ht="26.1" customHeight="1">
      <c r="A34" s="70" t="s">
        <v>3400</v>
      </c>
      <c r="B34" s="76" t="s">
        <v>603</v>
      </c>
      <c r="C34" s="72" t="s">
        <v>650</v>
      </c>
      <c r="D34" s="73" t="s">
        <v>605</v>
      </c>
      <c r="E34" s="70" t="s">
        <v>3102</v>
      </c>
      <c r="F34" s="70" t="s">
        <v>607</v>
      </c>
    </row>
    <row r="35" spans="1:6" ht="26.1" customHeight="1">
      <c r="A35" s="70" t="s">
        <v>3401</v>
      </c>
      <c r="B35" s="76" t="s">
        <v>603</v>
      </c>
      <c r="C35" s="70" t="s">
        <v>3402</v>
      </c>
      <c r="D35" s="71" t="s">
        <v>605</v>
      </c>
      <c r="E35" s="70" t="s">
        <v>3403</v>
      </c>
      <c r="F35" s="70" t="s">
        <v>1434</v>
      </c>
    </row>
    <row r="36" spans="1:6" ht="26.1" customHeight="1">
      <c r="A36" s="70" t="s">
        <v>3404</v>
      </c>
      <c r="B36" s="76" t="s">
        <v>603</v>
      </c>
      <c r="C36" s="74" t="s">
        <v>3255</v>
      </c>
      <c r="D36" s="71" t="s">
        <v>605</v>
      </c>
      <c r="E36" s="70" t="s">
        <v>3256</v>
      </c>
      <c r="F36" s="70" t="s">
        <v>691</v>
      </c>
    </row>
    <row r="37" spans="1:6" ht="26.1" customHeight="1">
      <c r="A37" s="70" t="s">
        <v>3405</v>
      </c>
      <c r="B37" s="75" t="s">
        <v>619</v>
      </c>
      <c r="C37" s="70" t="s">
        <v>3406</v>
      </c>
      <c r="D37" s="71" t="s">
        <v>605</v>
      </c>
      <c r="E37" s="70" t="s">
        <v>620</v>
      </c>
      <c r="F37" s="70" t="s">
        <v>691</v>
      </c>
    </row>
    <row r="38" spans="1:6" ht="26.1" customHeight="1">
      <c r="A38" s="70" t="s">
        <v>3407</v>
      </c>
      <c r="B38" s="76" t="s">
        <v>603</v>
      </c>
      <c r="C38" s="70" t="s">
        <v>3123</v>
      </c>
      <c r="D38" s="71" t="s">
        <v>605</v>
      </c>
      <c r="E38" s="70" t="s">
        <v>876</v>
      </c>
      <c r="F38" s="70" t="s">
        <v>607</v>
      </c>
    </row>
    <row r="39" spans="1:6" ht="26.1" customHeight="1">
      <c r="A39" s="70" t="s">
        <v>3408</v>
      </c>
      <c r="B39" s="75" t="s">
        <v>619</v>
      </c>
      <c r="C39" s="74" t="s">
        <v>650</v>
      </c>
      <c r="D39" s="71" t="s">
        <v>605</v>
      </c>
      <c r="E39" s="70" t="s">
        <v>651</v>
      </c>
      <c r="F39" s="70" t="s">
        <v>607</v>
      </c>
    </row>
    <row r="40" spans="1:6" ht="26.1" customHeight="1">
      <c r="A40" s="70" t="s">
        <v>3409</v>
      </c>
      <c r="B40" s="76" t="s">
        <v>603</v>
      </c>
      <c r="C40" s="74" t="s">
        <v>3410</v>
      </c>
      <c r="D40" s="71" t="s">
        <v>605</v>
      </c>
      <c r="E40" s="70" t="s">
        <v>610</v>
      </c>
      <c r="F40" s="70" t="s">
        <v>1627</v>
      </c>
    </row>
    <row r="41" spans="1:6" ht="26.1" customHeight="1">
      <c r="A41" s="70" t="s">
        <v>3411</v>
      </c>
      <c r="B41" s="75" t="s">
        <v>619</v>
      </c>
      <c r="C41" s="70" t="s">
        <v>3412</v>
      </c>
      <c r="D41" s="71" t="s">
        <v>605</v>
      </c>
      <c r="E41" s="70" t="s">
        <v>3413</v>
      </c>
      <c r="F41" s="70" t="s">
        <v>1627</v>
      </c>
    </row>
    <row r="42" spans="1:6" ht="26.1" customHeight="1">
      <c r="A42" s="70" t="s">
        <v>3414</v>
      </c>
      <c r="B42" s="76" t="s">
        <v>603</v>
      </c>
      <c r="C42" s="74" t="s">
        <v>3415</v>
      </c>
      <c r="D42" s="71" t="s">
        <v>605</v>
      </c>
      <c r="E42" s="70" t="s">
        <v>2537</v>
      </c>
      <c r="F42" s="70" t="s">
        <v>3416</v>
      </c>
    </row>
    <row r="43" spans="1:6" ht="26.1" customHeight="1">
      <c r="A43" s="70" t="s">
        <v>3417</v>
      </c>
      <c r="B43" s="76" t="s">
        <v>603</v>
      </c>
      <c r="C43" s="70" t="s">
        <v>3418</v>
      </c>
      <c r="D43" s="71" t="s">
        <v>605</v>
      </c>
      <c r="E43" s="70" t="s">
        <v>606</v>
      </c>
      <c r="F43" s="70" t="s">
        <v>3419</v>
      </c>
    </row>
    <row r="44" spans="1:6" ht="26.1" customHeight="1">
      <c r="A44" s="70" t="s">
        <v>3330</v>
      </c>
      <c r="B44" s="76" t="s">
        <v>603</v>
      </c>
      <c r="C44" s="70" t="s">
        <v>911</v>
      </c>
      <c r="D44" s="71" t="s">
        <v>605</v>
      </c>
      <c r="E44" s="70" t="s">
        <v>911</v>
      </c>
      <c r="F44" s="70" t="s">
        <v>607</v>
      </c>
    </row>
    <row r="45" spans="1:6" ht="26.1" customHeight="1">
      <c r="A45" s="70" t="s">
        <v>3420</v>
      </c>
      <c r="B45" s="76" t="s">
        <v>603</v>
      </c>
      <c r="C45" s="70" t="s">
        <v>3421</v>
      </c>
      <c r="D45" s="71" t="s">
        <v>3422</v>
      </c>
      <c r="E45" s="70" t="s">
        <v>610</v>
      </c>
      <c r="F45" s="70" t="s">
        <v>3423</v>
      </c>
    </row>
    <row r="46" spans="1:6" ht="26.1" customHeight="1">
      <c r="A46" s="70" t="s">
        <v>3424</v>
      </c>
      <c r="B46" s="76" t="s">
        <v>603</v>
      </c>
      <c r="C46" s="74" t="s">
        <v>3425</v>
      </c>
      <c r="D46" s="71" t="s">
        <v>605</v>
      </c>
      <c r="E46" s="70" t="s">
        <v>606</v>
      </c>
      <c r="F46" s="70" t="s">
        <v>691</v>
      </c>
    </row>
    <row r="48" spans="1:6" ht="15">
      <c r="C48" s="78" t="s">
        <v>633</v>
      </c>
      <c r="D48" s="79" t="str">
        <f>COUNTIF(D2:D46,"☑")&amp;" / "&amp;COUNTA(A2:A46)</f>
        <v>2 / 45</v>
      </c>
    </row>
  </sheetData>
  <conditionalFormatting sqref="B2:B22">
    <cfRule type="expression" dxfId="31" priority="1">
      <formula>B2="A"</formula>
    </cfRule>
    <cfRule type="expression" dxfId="30" priority="2">
      <formula>B2="B"</formula>
    </cfRule>
    <cfRule type="expression" dxfId="29" priority="3">
      <formula>B2="C"</formula>
    </cfRule>
  </conditionalFormatting>
  <conditionalFormatting sqref="D2:D46">
    <cfRule type="expression" dxfId="28" priority="4">
      <formula>D2="☑"</formula>
    </cfRule>
  </conditionalFormatting>
  <dataValidations count="1">
    <dataValidation type="list" sqref="D2:D46" xr:uid="{00000000-0002-0000-2200-000000000000}">
      <formula1>"☐,☑"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62"/>
  <sheetViews>
    <sheetView topLeftCell="A10" workbookViewId="0">
      <selection activeCell="D35" sqref="D35"/>
    </sheetView>
  </sheetViews>
  <sheetFormatPr defaultRowHeight="14.25"/>
  <cols>
    <col min="1" max="1" width="34" customWidth="1"/>
    <col min="2" max="2" width="10" customWidth="1"/>
    <col min="3" max="3" width="48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69" t="s">
        <v>598</v>
      </c>
      <c r="B1" s="69" t="s">
        <v>599</v>
      </c>
      <c r="C1" s="69" t="s">
        <v>13</v>
      </c>
      <c r="D1" s="69" t="s">
        <v>3</v>
      </c>
      <c r="E1" s="69" t="s">
        <v>600</v>
      </c>
      <c r="F1" s="69" t="s">
        <v>601</v>
      </c>
    </row>
    <row r="2" spans="1:6" ht="26.1" customHeight="1">
      <c r="A2" s="70" t="s">
        <v>3426</v>
      </c>
      <c r="B2" s="75" t="s">
        <v>619</v>
      </c>
      <c r="C2" s="70" t="s">
        <v>3427</v>
      </c>
      <c r="D2" s="71" t="s">
        <v>605</v>
      </c>
      <c r="E2" s="70" t="s">
        <v>3146</v>
      </c>
      <c r="F2" s="70" t="s">
        <v>691</v>
      </c>
    </row>
    <row r="3" spans="1:6" ht="26.1" customHeight="1">
      <c r="A3" s="70" t="s">
        <v>3428</v>
      </c>
      <c r="B3" s="75" t="s">
        <v>619</v>
      </c>
      <c r="C3" s="70" t="s">
        <v>3429</v>
      </c>
      <c r="D3" s="71" t="s">
        <v>605</v>
      </c>
      <c r="E3" s="70" t="s">
        <v>620</v>
      </c>
      <c r="F3" s="70" t="s">
        <v>691</v>
      </c>
    </row>
    <row r="4" spans="1:6" ht="26.1" customHeight="1">
      <c r="A4" s="70" t="s">
        <v>3430</v>
      </c>
      <c r="B4" s="75" t="s">
        <v>619</v>
      </c>
      <c r="C4" s="70" t="s">
        <v>3218</v>
      </c>
      <c r="D4" s="71" t="s">
        <v>605</v>
      </c>
      <c r="E4" s="70" t="s">
        <v>3146</v>
      </c>
      <c r="F4" s="70" t="s">
        <v>691</v>
      </c>
    </row>
    <row r="5" spans="1:6" ht="26.1" customHeight="1">
      <c r="A5" s="70" t="s">
        <v>3431</v>
      </c>
      <c r="B5" s="76" t="s">
        <v>603</v>
      </c>
      <c r="C5" s="70" t="s">
        <v>2948</v>
      </c>
      <c r="D5" s="71" t="s">
        <v>605</v>
      </c>
      <c r="E5" s="70" t="s">
        <v>610</v>
      </c>
      <c r="F5" s="70" t="s">
        <v>691</v>
      </c>
    </row>
    <row r="6" spans="1:6" ht="26.1" customHeight="1">
      <c r="A6" s="70" t="s">
        <v>3432</v>
      </c>
      <c r="B6" s="76" t="s">
        <v>603</v>
      </c>
      <c r="C6" s="70" t="s">
        <v>609</v>
      </c>
      <c r="D6" s="71" t="s">
        <v>605</v>
      </c>
      <c r="E6" s="70" t="s">
        <v>2661</v>
      </c>
      <c r="F6" s="70" t="s">
        <v>607</v>
      </c>
    </row>
    <row r="7" spans="1:6" ht="26.1" customHeight="1">
      <c r="A7" s="70" t="s">
        <v>3433</v>
      </c>
      <c r="B7" s="75" t="s">
        <v>619</v>
      </c>
      <c r="C7" s="70" t="s">
        <v>3434</v>
      </c>
      <c r="D7" s="71" t="s">
        <v>605</v>
      </c>
      <c r="E7" s="70" t="s">
        <v>3146</v>
      </c>
      <c r="F7" s="70" t="s">
        <v>3435</v>
      </c>
    </row>
    <row r="8" spans="1:6" ht="26.1" customHeight="1">
      <c r="A8" s="70" t="s">
        <v>3436</v>
      </c>
      <c r="B8" s="75" t="s">
        <v>619</v>
      </c>
      <c r="C8" s="70" t="s">
        <v>3437</v>
      </c>
      <c r="D8" s="71" t="s">
        <v>605</v>
      </c>
      <c r="E8" s="70" t="s">
        <v>3146</v>
      </c>
      <c r="F8" s="70" t="s">
        <v>691</v>
      </c>
    </row>
    <row r="9" spans="1:6" ht="26.1" customHeight="1">
      <c r="A9" s="70" t="s">
        <v>977</v>
      </c>
      <c r="B9" s="75" t="s">
        <v>619</v>
      </c>
      <c r="C9" s="70" t="s">
        <v>3438</v>
      </c>
      <c r="D9" s="71" t="s">
        <v>605</v>
      </c>
      <c r="E9" s="70" t="s">
        <v>620</v>
      </c>
      <c r="F9" s="70" t="s">
        <v>3439</v>
      </c>
    </row>
    <row r="10" spans="1:6" ht="26.1" customHeight="1">
      <c r="A10" s="70" t="s">
        <v>3440</v>
      </c>
      <c r="B10" s="76" t="s">
        <v>603</v>
      </c>
      <c r="C10" s="70" t="s">
        <v>3441</v>
      </c>
      <c r="D10" s="71" t="s">
        <v>605</v>
      </c>
      <c r="E10" s="70" t="s">
        <v>3256</v>
      </c>
      <c r="F10" s="70" t="s">
        <v>691</v>
      </c>
    </row>
    <row r="11" spans="1:6" ht="26.1" customHeight="1">
      <c r="A11" s="70" t="s">
        <v>3442</v>
      </c>
      <c r="B11" s="76" t="s">
        <v>603</v>
      </c>
      <c r="C11" s="70" t="s">
        <v>609</v>
      </c>
      <c r="D11" s="71" t="s">
        <v>605</v>
      </c>
      <c r="E11" s="70" t="s">
        <v>804</v>
      </c>
      <c r="F11" s="70" t="s">
        <v>3443</v>
      </c>
    </row>
    <row r="12" spans="1:6" ht="26.1" customHeight="1">
      <c r="A12" s="70" t="s">
        <v>181</v>
      </c>
      <c r="B12" s="76" t="s">
        <v>603</v>
      </c>
      <c r="C12" s="70" t="s">
        <v>3444</v>
      </c>
      <c r="D12" s="71" t="s">
        <v>605</v>
      </c>
      <c r="E12" s="70" t="s">
        <v>3445</v>
      </c>
      <c r="F12" s="70" t="s">
        <v>691</v>
      </c>
    </row>
    <row r="13" spans="1:6" ht="26.1" customHeight="1">
      <c r="A13" s="70" t="s">
        <v>3348</v>
      </c>
      <c r="B13" s="76" t="s">
        <v>603</v>
      </c>
      <c r="C13" s="70" t="s">
        <v>1963</v>
      </c>
      <c r="D13" s="71" t="s">
        <v>605</v>
      </c>
      <c r="E13" s="70" t="s">
        <v>610</v>
      </c>
      <c r="F13" s="70" t="s">
        <v>607</v>
      </c>
    </row>
    <row r="14" spans="1:6" ht="26.1" customHeight="1">
      <c r="A14" s="70" t="s">
        <v>3446</v>
      </c>
      <c r="B14" s="76" t="s">
        <v>603</v>
      </c>
      <c r="C14" s="70" t="s">
        <v>3447</v>
      </c>
      <c r="D14" s="71" t="s">
        <v>605</v>
      </c>
      <c r="E14" s="70" t="s">
        <v>636</v>
      </c>
      <c r="F14" s="70" t="s">
        <v>3448</v>
      </c>
    </row>
    <row r="15" spans="1:6" ht="26.1" customHeight="1">
      <c r="A15" s="70" t="s">
        <v>3449</v>
      </c>
      <c r="B15" s="76" t="s">
        <v>603</v>
      </c>
      <c r="C15" s="70" t="s">
        <v>3450</v>
      </c>
      <c r="D15" s="71" t="s">
        <v>605</v>
      </c>
      <c r="E15" s="70" t="s">
        <v>3451</v>
      </c>
      <c r="F15" s="70" t="s">
        <v>3452</v>
      </c>
    </row>
    <row r="16" spans="1:6" ht="26.1" customHeight="1">
      <c r="A16" s="70" t="s">
        <v>3453</v>
      </c>
      <c r="B16" s="76" t="s">
        <v>603</v>
      </c>
      <c r="C16" s="70" t="s">
        <v>3121</v>
      </c>
      <c r="D16" s="71" t="s">
        <v>605</v>
      </c>
      <c r="E16" s="70" t="s">
        <v>2661</v>
      </c>
      <c r="F16" s="70" t="s">
        <v>607</v>
      </c>
    </row>
    <row r="17" spans="1:6" ht="26.1" customHeight="1">
      <c r="A17" s="70" t="s">
        <v>3454</v>
      </c>
      <c r="B17" s="76" t="s">
        <v>603</v>
      </c>
      <c r="C17" s="70" t="s">
        <v>3455</v>
      </c>
      <c r="D17" s="71" t="s">
        <v>605</v>
      </c>
      <c r="E17" s="70" t="s">
        <v>610</v>
      </c>
      <c r="F17" s="70" t="s">
        <v>3456</v>
      </c>
    </row>
    <row r="18" spans="1:6" ht="26.1" customHeight="1">
      <c r="A18" s="70" t="s">
        <v>3457</v>
      </c>
      <c r="B18" s="76" t="s">
        <v>603</v>
      </c>
      <c r="C18" s="70" t="s">
        <v>1351</v>
      </c>
      <c r="D18" s="71" t="s">
        <v>605</v>
      </c>
      <c r="E18" s="70" t="s">
        <v>610</v>
      </c>
      <c r="F18" s="70" t="s">
        <v>607</v>
      </c>
    </row>
    <row r="19" spans="1:6" ht="26.1" customHeight="1">
      <c r="A19" s="70" t="s">
        <v>3458</v>
      </c>
      <c r="B19" s="76" t="s">
        <v>603</v>
      </c>
      <c r="C19" s="70" t="s">
        <v>3459</v>
      </c>
      <c r="D19" s="71" t="s">
        <v>605</v>
      </c>
      <c r="E19" s="70" t="s">
        <v>3460</v>
      </c>
      <c r="F19" s="70" t="s">
        <v>2416</v>
      </c>
    </row>
    <row r="20" spans="1:6" ht="26.1" customHeight="1">
      <c r="A20" s="70" t="s">
        <v>203</v>
      </c>
      <c r="B20" s="76" t="s">
        <v>603</v>
      </c>
      <c r="C20" s="70" t="s">
        <v>3461</v>
      </c>
      <c r="D20" s="71" t="s">
        <v>605</v>
      </c>
      <c r="E20" s="70" t="s">
        <v>3462</v>
      </c>
      <c r="F20" s="70" t="s">
        <v>3463</v>
      </c>
    </row>
    <row r="21" spans="1:6" ht="26.1" customHeight="1">
      <c r="A21" s="70" t="s">
        <v>3464</v>
      </c>
      <c r="B21" s="76" t="s">
        <v>603</v>
      </c>
      <c r="C21" s="70" t="s">
        <v>3465</v>
      </c>
      <c r="D21" s="71" t="s">
        <v>605</v>
      </c>
      <c r="E21" s="70" t="s">
        <v>610</v>
      </c>
      <c r="F21" s="70" t="s">
        <v>691</v>
      </c>
    </row>
    <row r="22" spans="1:6" ht="26.1" customHeight="1">
      <c r="A22" s="70" t="s">
        <v>303</v>
      </c>
      <c r="B22" s="76" t="s">
        <v>603</v>
      </c>
      <c r="C22" s="70" t="s">
        <v>3466</v>
      </c>
      <c r="D22" s="71" t="s">
        <v>605</v>
      </c>
      <c r="E22" s="70" t="s">
        <v>610</v>
      </c>
      <c r="F22" s="70" t="s">
        <v>3467</v>
      </c>
    </row>
    <row r="23" spans="1:6" ht="26.1" customHeight="1">
      <c r="A23" s="70" t="s">
        <v>3468</v>
      </c>
      <c r="B23" s="75" t="s">
        <v>619</v>
      </c>
      <c r="C23" s="70" t="s">
        <v>3469</v>
      </c>
      <c r="D23" s="71" t="s">
        <v>605</v>
      </c>
      <c r="E23" s="70" t="s">
        <v>3312</v>
      </c>
      <c r="F23" s="70" t="s">
        <v>691</v>
      </c>
    </row>
    <row r="24" spans="1:6" ht="26.1" customHeight="1">
      <c r="A24" s="70" t="s">
        <v>3470</v>
      </c>
      <c r="B24" s="76" t="s">
        <v>603</v>
      </c>
      <c r="C24" s="70" t="s">
        <v>3471</v>
      </c>
      <c r="D24" s="71" t="s">
        <v>605</v>
      </c>
      <c r="E24" s="70" t="s">
        <v>610</v>
      </c>
      <c r="F24" s="70" t="s">
        <v>607</v>
      </c>
    </row>
    <row r="25" spans="1:6" ht="26.1" customHeight="1">
      <c r="A25" s="70" t="s">
        <v>3472</v>
      </c>
      <c r="B25" s="75" t="s">
        <v>619</v>
      </c>
      <c r="C25" s="70" t="s">
        <v>3473</v>
      </c>
      <c r="D25" s="71" t="s">
        <v>605</v>
      </c>
      <c r="E25" s="70" t="s">
        <v>620</v>
      </c>
      <c r="F25" s="70" t="s">
        <v>691</v>
      </c>
    </row>
    <row r="26" spans="1:6" ht="26.1" customHeight="1">
      <c r="A26" s="70" t="s">
        <v>3474</v>
      </c>
      <c r="B26" s="76" t="s">
        <v>603</v>
      </c>
      <c r="C26" s="72" t="s">
        <v>609</v>
      </c>
      <c r="D26" s="73" t="s">
        <v>605</v>
      </c>
      <c r="E26" s="70" t="s">
        <v>610</v>
      </c>
      <c r="F26" s="70" t="s">
        <v>1434</v>
      </c>
    </row>
    <row r="27" spans="1:6" ht="26.1" customHeight="1">
      <c r="A27" s="70" t="s">
        <v>245</v>
      </c>
      <c r="B27" s="76" t="s">
        <v>603</v>
      </c>
      <c r="C27" s="72" t="s">
        <v>3475</v>
      </c>
      <c r="D27" s="73" t="s">
        <v>605</v>
      </c>
      <c r="E27" s="70" t="s">
        <v>606</v>
      </c>
      <c r="F27" s="70" t="s">
        <v>3476</v>
      </c>
    </row>
    <row r="28" spans="1:6" ht="26.1" customHeight="1">
      <c r="A28" s="70" t="s">
        <v>3477</v>
      </c>
      <c r="B28" s="75" t="s">
        <v>619</v>
      </c>
      <c r="C28" s="72" t="s">
        <v>3478</v>
      </c>
      <c r="D28" s="73" t="s">
        <v>605</v>
      </c>
      <c r="E28" s="70" t="s">
        <v>620</v>
      </c>
      <c r="F28" s="70" t="s">
        <v>3479</v>
      </c>
    </row>
    <row r="29" spans="1:6" ht="26.1" customHeight="1">
      <c r="A29" s="70" t="s">
        <v>3480</v>
      </c>
      <c r="B29" s="75" t="s">
        <v>619</v>
      </c>
      <c r="C29" s="72" t="s">
        <v>3481</v>
      </c>
      <c r="D29" s="73" t="s">
        <v>605</v>
      </c>
      <c r="E29" s="70" t="s">
        <v>3146</v>
      </c>
      <c r="F29" s="70" t="s">
        <v>691</v>
      </c>
    </row>
    <row r="30" spans="1:6" ht="26.1" customHeight="1">
      <c r="A30" s="70" t="s">
        <v>3482</v>
      </c>
      <c r="B30" s="76" t="s">
        <v>603</v>
      </c>
      <c r="C30" s="72" t="s">
        <v>1239</v>
      </c>
      <c r="D30" s="73" t="s">
        <v>605</v>
      </c>
      <c r="E30" s="70" t="s">
        <v>610</v>
      </c>
      <c r="F30" s="70" t="s">
        <v>607</v>
      </c>
    </row>
    <row r="31" spans="1:6" ht="26.1" customHeight="1">
      <c r="A31" s="70" t="s">
        <v>3483</v>
      </c>
      <c r="B31" s="75" t="s">
        <v>619</v>
      </c>
      <c r="C31" s="72" t="s">
        <v>3484</v>
      </c>
      <c r="D31" s="73" t="s">
        <v>605</v>
      </c>
      <c r="E31" s="70" t="s">
        <v>2547</v>
      </c>
      <c r="F31" s="70" t="s">
        <v>691</v>
      </c>
    </row>
    <row r="32" spans="1:6" ht="26.1" customHeight="1">
      <c r="A32" s="70" t="s">
        <v>3485</v>
      </c>
      <c r="B32" s="76" t="s">
        <v>603</v>
      </c>
      <c r="C32" s="72" t="s">
        <v>3486</v>
      </c>
      <c r="D32" s="73" t="s">
        <v>605</v>
      </c>
      <c r="E32" s="70" t="s">
        <v>2661</v>
      </c>
      <c r="F32" s="70" t="s">
        <v>607</v>
      </c>
    </row>
    <row r="33" spans="1:6" ht="26.1" customHeight="1">
      <c r="A33" s="70" t="s">
        <v>206</v>
      </c>
      <c r="B33" s="75" t="s">
        <v>619</v>
      </c>
      <c r="C33" s="72" t="s">
        <v>3487</v>
      </c>
      <c r="D33" s="73" t="s">
        <v>605</v>
      </c>
      <c r="E33" s="70" t="s">
        <v>2975</v>
      </c>
      <c r="F33" s="70" t="s">
        <v>3488</v>
      </c>
    </row>
    <row r="34" spans="1:6" ht="26.1" customHeight="1">
      <c r="A34" s="70" t="s">
        <v>3489</v>
      </c>
      <c r="B34" s="76" t="s">
        <v>603</v>
      </c>
      <c r="C34" s="74" t="s">
        <v>3490</v>
      </c>
      <c r="D34" s="71" t="s">
        <v>605</v>
      </c>
      <c r="E34" s="70" t="s">
        <v>2661</v>
      </c>
      <c r="F34" s="70" t="s">
        <v>3074</v>
      </c>
    </row>
    <row r="35" spans="1:6" ht="26.1" customHeight="1">
      <c r="A35" s="70" t="s">
        <v>3491</v>
      </c>
      <c r="B35" s="75" t="s">
        <v>619</v>
      </c>
      <c r="C35" s="70" t="s">
        <v>3492</v>
      </c>
      <c r="D35" s="71" t="s">
        <v>3422</v>
      </c>
      <c r="E35" s="70" t="s">
        <v>2975</v>
      </c>
      <c r="F35" s="70" t="s">
        <v>3389</v>
      </c>
    </row>
    <row r="36" spans="1:6" ht="26.1" customHeight="1">
      <c r="A36" s="70" t="s">
        <v>3493</v>
      </c>
      <c r="B36" s="76" t="s">
        <v>603</v>
      </c>
      <c r="C36" s="70" t="s">
        <v>3121</v>
      </c>
      <c r="D36" s="71" t="s">
        <v>605</v>
      </c>
      <c r="E36" s="70" t="s">
        <v>2661</v>
      </c>
      <c r="F36" s="70" t="s">
        <v>607</v>
      </c>
    </row>
    <row r="37" spans="1:6" ht="26.1" customHeight="1">
      <c r="A37" s="70" t="s">
        <v>3494</v>
      </c>
      <c r="B37" s="76" t="s">
        <v>603</v>
      </c>
      <c r="C37" s="70" t="s">
        <v>3121</v>
      </c>
      <c r="D37" s="71" t="s">
        <v>605</v>
      </c>
      <c r="E37" s="70" t="s">
        <v>2661</v>
      </c>
      <c r="F37" s="70" t="s">
        <v>607</v>
      </c>
    </row>
    <row r="38" spans="1:6" ht="26.1" customHeight="1">
      <c r="A38" s="70" t="s">
        <v>3495</v>
      </c>
      <c r="B38" s="75" t="s">
        <v>619</v>
      </c>
      <c r="C38" s="70" t="s">
        <v>3496</v>
      </c>
      <c r="D38" s="71" t="s">
        <v>605</v>
      </c>
      <c r="E38" s="70" t="s">
        <v>3497</v>
      </c>
      <c r="F38" s="70" t="s">
        <v>3127</v>
      </c>
    </row>
    <row r="39" spans="1:6" ht="26.1" customHeight="1">
      <c r="A39" s="70" t="s">
        <v>3498</v>
      </c>
      <c r="B39" s="76" t="s">
        <v>603</v>
      </c>
      <c r="C39" s="70" t="s">
        <v>3499</v>
      </c>
      <c r="D39" s="71" t="s">
        <v>605</v>
      </c>
      <c r="E39" s="70" t="s">
        <v>610</v>
      </c>
      <c r="F39" s="70" t="s">
        <v>3500</v>
      </c>
    </row>
    <row r="40" spans="1:6" ht="26.1" customHeight="1">
      <c r="A40" s="70" t="s">
        <v>178</v>
      </c>
      <c r="B40" s="76" t="s">
        <v>603</v>
      </c>
      <c r="C40" s="70" t="s">
        <v>3501</v>
      </c>
      <c r="D40" s="71" t="s">
        <v>3422</v>
      </c>
      <c r="E40" s="70" t="s">
        <v>610</v>
      </c>
      <c r="F40" s="70" t="s">
        <v>3502</v>
      </c>
    </row>
    <row r="41" spans="1:6" ht="26.1" customHeight="1">
      <c r="A41" s="70" t="s">
        <v>3503</v>
      </c>
      <c r="B41" s="76" t="s">
        <v>603</v>
      </c>
      <c r="C41" s="70" t="s">
        <v>632</v>
      </c>
      <c r="D41" s="71" t="s">
        <v>605</v>
      </c>
      <c r="E41" s="70" t="s">
        <v>2661</v>
      </c>
      <c r="F41" s="70" t="s">
        <v>607</v>
      </c>
    </row>
    <row r="42" spans="1:6" ht="26.1" customHeight="1">
      <c r="A42" s="70" t="s">
        <v>3504</v>
      </c>
      <c r="B42" s="76" t="s">
        <v>603</v>
      </c>
      <c r="C42" s="70" t="s">
        <v>3505</v>
      </c>
      <c r="D42" s="71" t="s">
        <v>605</v>
      </c>
      <c r="E42" s="70" t="s">
        <v>610</v>
      </c>
      <c r="F42" s="70" t="s">
        <v>691</v>
      </c>
    </row>
    <row r="43" spans="1:6" ht="26.1" customHeight="1">
      <c r="A43" s="70" t="s">
        <v>3506</v>
      </c>
      <c r="B43" s="76" t="s">
        <v>603</v>
      </c>
      <c r="C43" s="70" t="s">
        <v>650</v>
      </c>
      <c r="D43" s="71" t="s">
        <v>605</v>
      </c>
      <c r="E43" s="70" t="s">
        <v>3507</v>
      </c>
      <c r="F43" s="70" t="s">
        <v>607</v>
      </c>
    </row>
    <row r="44" spans="1:6" ht="26.1" customHeight="1">
      <c r="A44" s="70" t="s">
        <v>3508</v>
      </c>
      <c r="B44" s="76" t="s">
        <v>603</v>
      </c>
      <c r="C44" s="70" t="s">
        <v>999</v>
      </c>
      <c r="D44" s="71" t="s">
        <v>605</v>
      </c>
      <c r="E44" s="70" t="s">
        <v>610</v>
      </c>
      <c r="F44" s="70" t="s">
        <v>607</v>
      </c>
    </row>
    <row r="45" spans="1:6" ht="26.1" customHeight="1">
      <c r="A45" s="70" t="s">
        <v>276</v>
      </c>
      <c r="B45" s="76" t="s">
        <v>603</v>
      </c>
      <c r="C45" s="70" t="s">
        <v>3509</v>
      </c>
      <c r="D45" s="71" t="s">
        <v>605</v>
      </c>
      <c r="E45" s="70" t="s">
        <v>3451</v>
      </c>
      <c r="F45" s="70" t="s">
        <v>3510</v>
      </c>
    </row>
    <row r="46" spans="1:6" ht="26.1" customHeight="1">
      <c r="A46" s="70" t="s">
        <v>3407</v>
      </c>
      <c r="B46" s="76" t="s">
        <v>603</v>
      </c>
      <c r="C46" s="70" t="s">
        <v>626</v>
      </c>
      <c r="D46" s="71" t="s">
        <v>605</v>
      </c>
      <c r="E46" s="70" t="s">
        <v>3511</v>
      </c>
      <c r="F46" s="70" t="s">
        <v>3512</v>
      </c>
    </row>
    <row r="47" spans="1:6" ht="26.1" customHeight="1">
      <c r="A47" s="70" t="s">
        <v>3513</v>
      </c>
      <c r="B47" s="76" t="s">
        <v>603</v>
      </c>
      <c r="C47" s="74" t="s">
        <v>3514</v>
      </c>
      <c r="D47" s="71" t="s">
        <v>605</v>
      </c>
      <c r="E47" s="70" t="s">
        <v>2661</v>
      </c>
      <c r="F47" s="70" t="s">
        <v>607</v>
      </c>
    </row>
    <row r="48" spans="1:6" ht="26.1" customHeight="1">
      <c r="A48" s="70" t="s">
        <v>3515</v>
      </c>
      <c r="B48" s="77" t="s">
        <v>615</v>
      </c>
      <c r="C48" s="70" t="s">
        <v>3516</v>
      </c>
      <c r="D48" s="71" t="s">
        <v>605</v>
      </c>
      <c r="E48" s="70" t="s">
        <v>3517</v>
      </c>
      <c r="F48" s="70" t="s">
        <v>3518</v>
      </c>
    </row>
    <row r="49" spans="1:6" ht="26.1" customHeight="1">
      <c r="A49" s="70" t="s">
        <v>3519</v>
      </c>
      <c r="B49" s="77" t="s">
        <v>615</v>
      </c>
      <c r="C49" s="74" t="s">
        <v>1461</v>
      </c>
      <c r="D49" s="71" t="s">
        <v>605</v>
      </c>
      <c r="E49" s="70" t="s">
        <v>630</v>
      </c>
      <c r="F49" s="70" t="s">
        <v>607</v>
      </c>
    </row>
    <row r="50" spans="1:6" ht="26.1" customHeight="1">
      <c r="A50" s="70" t="s">
        <v>3520</v>
      </c>
      <c r="B50" s="75" t="s">
        <v>619</v>
      </c>
      <c r="C50" s="74" t="s">
        <v>609</v>
      </c>
      <c r="D50" s="71" t="s">
        <v>605</v>
      </c>
      <c r="E50" s="70" t="s">
        <v>620</v>
      </c>
      <c r="F50" s="70" t="s">
        <v>607</v>
      </c>
    </row>
    <row r="51" spans="1:6" ht="26.1" customHeight="1">
      <c r="A51" s="70" t="s">
        <v>3521</v>
      </c>
      <c r="B51" s="76" t="s">
        <v>603</v>
      </c>
      <c r="C51" s="70" t="s">
        <v>3522</v>
      </c>
      <c r="D51" s="71" t="s">
        <v>605</v>
      </c>
      <c r="E51" s="70" t="s">
        <v>610</v>
      </c>
      <c r="F51" s="70" t="s">
        <v>607</v>
      </c>
    </row>
    <row r="52" spans="1:6" ht="26.1" customHeight="1">
      <c r="A52" s="70" t="s">
        <v>3523</v>
      </c>
      <c r="B52" s="76" t="s">
        <v>603</v>
      </c>
      <c r="C52" s="70" t="s">
        <v>3524</v>
      </c>
      <c r="D52" s="71" t="s">
        <v>605</v>
      </c>
      <c r="E52" s="70" t="s">
        <v>606</v>
      </c>
      <c r="F52" s="70" t="s">
        <v>2427</v>
      </c>
    </row>
    <row r="53" spans="1:6" ht="26.1" customHeight="1">
      <c r="A53" s="70" t="s">
        <v>3525</v>
      </c>
      <c r="B53" s="76" t="s">
        <v>603</v>
      </c>
      <c r="C53" s="70" t="s">
        <v>2957</v>
      </c>
      <c r="D53" s="71" t="s">
        <v>605</v>
      </c>
      <c r="E53" s="70" t="s">
        <v>606</v>
      </c>
      <c r="F53" s="70" t="s">
        <v>691</v>
      </c>
    </row>
    <row r="54" spans="1:6" ht="26.1" customHeight="1">
      <c r="A54" s="70" t="s">
        <v>3526</v>
      </c>
      <c r="B54" s="75" t="s">
        <v>619</v>
      </c>
      <c r="C54" s="74" t="s">
        <v>3527</v>
      </c>
      <c r="D54" s="71" t="s">
        <v>605</v>
      </c>
      <c r="E54" s="70" t="s">
        <v>3146</v>
      </c>
      <c r="F54" s="70" t="s">
        <v>3528</v>
      </c>
    </row>
    <row r="55" spans="1:6" ht="26.1" customHeight="1">
      <c r="A55" s="70" t="s">
        <v>177</v>
      </c>
      <c r="B55" s="76" t="s">
        <v>603</v>
      </c>
      <c r="C55" s="70" t="s">
        <v>3529</v>
      </c>
      <c r="D55" s="71" t="s">
        <v>3422</v>
      </c>
      <c r="E55" s="70" t="s">
        <v>610</v>
      </c>
      <c r="F55" s="70" t="s">
        <v>3530</v>
      </c>
    </row>
    <row r="56" spans="1:6" ht="26.1" customHeight="1">
      <c r="A56" s="70" t="s">
        <v>3531</v>
      </c>
      <c r="B56" s="75" t="s">
        <v>619</v>
      </c>
      <c r="C56" s="74" t="s">
        <v>3218</v>
      </c>
      <c r="D56" s="71" t="s">
        <v>605</v>
      </c>
      <c r="E56" s="70" t="s">
        <v>3146</v>
      </c>
      <c r="F56" s="70" t="s">
        <v>691</v>
      </c>
    </row>
    <row r="57" spans="1:6" ht="26.1" customHeight="1">
      <c r="A57" s="70" t="s">
        <v>3532</v>
      </c>
      <c r="B57" s="75" t="s">
        <v>619</v>
      </c>
      <c r="C57" s="74" t="s">
        <v>3218</v>
      </c>
      <c r="D57" s="71" t="s">
        <v>605</v>
      </c>
      <c r="E57" s="70" t="s">
        <v>3146</v>
      </c>
      <c r="F57" s="70" t="s">
        <v>691</v>
      </c>
    </row>
    <row r="58" spans="1:6" ht="26.1" customHeight="1">
      <c r="A58" s="70" t="s">
        <v>3533</v>
      </c>
      <c r="B58" s="76" t="s">
        <v>603</v>
      </c>
      <c r="C58" s="70" t="s">
        <v>629</v>
      </c>
      <c r="D58" s="71" t="s">
        <v>605</v>
      </c>
      <c r="E58" s="70" t="s">
        <v>2661</v>
      </c>
      <c r="F58" s="70" t="s">
        <v>607</v>
      </c>
    </row>
    <row r="59" spans="1:6" ht="26.1" customHeight="1">
      <c r="A59" s="70" t="s">
        <v>3534</v>
      </c>
      <c r="B59" s="76" t="s">
        <v>603</v>
      </c>
      <c r="C59" s="70" t="s">
        <v>629</v>
      </c>
      <c r="D59" s="71" t="s">
        <v>605</v>
      </c>
      <c r="E59" s="70" t="s">
        <v>2661</v>
      </c>
      <c r="F59" s="70" t="s">
        <v>607</v>
      </c>
    </row>
    <row r="60" spans="1:6" ht="26.1" customHeight="1">
      <c r="A60" s="70" t="s">
        <v>3535</v>
      </c>
      <c r="B60" s="75" t="s">
        <v>619</v>
      </c>
      <c r="C60" s="70" t="s">
        <v>3536</v>
      </c>
      <c r="D60" s="71" t="s">
        <v>605</v>
      </c>
      <c r="E60" s="70" t="s">
        <v>3537</v>
      </c>
      <c r="F60" s="70" t="s">
        <v>3538</v>
      </c>
    </row>
    <row r="61" spans="1:6" ht="15">
      <c r="C61" s="33"/>
      <c r="D61" s="34"/>
    </row>
    <row r="62" spans="1:6" ht="15">
      <c r="C62" s="78" t="s">
        <v>633</v>
      </c>
      <c r="D62" s="79" t="str">
        <f>COUNTIF(D2:D60,"☑")&amp;" / "&amp;COUNTA(A2:A60)</f>
        <v>3 / 59</v>
      </c>
    </row>
  </sheetData>
  <conditionalFormatting sqref="B2:B24">
    <cfRule type="expression" dxfId="27" priority="1">
      <formula>B2="A"</formula>
    </cfRule>
    <cfRule type="expression" dxfId="26" priority="2">
      <formula>B2="B"</formula>
    </cfRule>
    <cfRule type="expression" dxfId="25" priority="3">
      <formula>B2="C"</formula>
    </cfRule>
  </conditionalFormatting>
  <conditionalFormatting sqref="D2:D60">
    <cfRule type="expression" dxfId="24" priority="4">
      <formula>D2="☑"</formula>
    </cfRule>
  </conditionalFormatting>
  <dataValidations count="1">
    <dataValidation type="list" sqref="D2:D60" xr:uid="{00000000-0002-0000-2300-000000000000}">
      <formula1>"☐,☑"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68"/>
  <sheetViews>
    <sheetView topLeftCell="A37" workbookViewId="0">
      <selection activeCell="D36" sqref="D36"/>
    </sheetView>
  </sheetViews>
  <sheetFormatPr defaultRowHeight="14.25"/>
  <cols>
    <col min="1" max="1" width="34" customWidth="1"/>
    <col min="2" max="2" width="10" customWidth="1"/>
    <col min="3" max="3" width="48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69" t="s">
        <v>598</v>
      </c>
      <c r="B1" s="69" t="s">
        <v>599</v>
      </c>
      <c r="C1" s="69" t="s">
        <v>13</v>
      </c>
      <c r="D1" s="69" t="s">
        <v>3</v>
      </c>
      <c r="E1" s="69" t="s">
        <v>600</v>
      </c>
      <c r="F1" s="69" t="s">
        <v>601</v>
      </c>
    </row>
    <row r="2" spans="1:6" ht="26.1" customHeight="1">
      <c r="A2" s="70" t="s">
        <v>3539</v>
      </c>
      <c r="B2" s="77" t="s">
        <v>615</v>
      </c>
      <c r="C2" s="70" t="s">
        <v>3540</v>
      </c>
      <c r="D2" s="71" t="s">
        <v>605</v>
      </c>
      <c r="E2" s="70" t="s">
        <v>825</v>
      </c>
      <c r="F2" s="70" t="s">
        <v>3541</v>
      </c>
    </row>
    <row r="3" spans="1:6" ht="26.1" customHeight="1">
      <c r="A3" s="70" t="s">
        <v>3542</v>
      </c>
      <c r="B3" s="75" t="s">
        <v>619</v>
      </c>
      <c r="C3" s="70" t="s">
        <v>3427</v>
      </c>
      <c r="D3" s="71" t="s">
        <v>605</v>
      </c>
      <c r="E3" s="70" t="s">
        <v>3146</v>
      </c>
      <c r="F3" s="70" t="s">
        <v>691</v>
      </c>
    </row>
    <row r="4" spans="1:6" ht="26.1" customHeight="1">
      <c r="A4" s="70" t="s">
        <v>3543</v>
      </c>
      <c r="B4" s="75" t="s">
        <v>619</v>
      </c>
      <c r="C4" s="70" t="s">
        <v>3544</v>
      </c>
      <c r="D4" s="71" t="s">
        <v>605</v>
      </c>
      <c r="E4" s="70" t="s">
        <v>3146</v>
      </c>
      <c r="F4" s="70" t="s">
        <v>691</v>
      </c>
    </row>
    <row r="5" spans="1:6" ht="26.1" customHeight="1">
      <c r="A5" s="70" t="s">
        <v>3545</v>
      </c>
      <c r="B5" s="76" t="s">
        <v>603</v>
      </c>
      <c r="C5" s="70" t="s">
        <v>3546</v>
      </c>
      <c r="D5" s="71" t="s">
        <v>605</v>
      </c>
      <c r="E5" s="70" t="s">
        <v>3451</v>
      </c>
      <c r="F5" s="70" t="s">
        <v>3547</v>
      </c>
    </row>
    <row r="6" spans="1:6" ht="26.1" customHeight="1">
      <c r="A6" s="70" t="s">
        <v>244</v>
      </c>
      <c r="B6" s="76" t="s">
        <v>603</v>
      </c>
      <c r="C6" s="70" t="s">
        <v>3548</v>
      </c>
      <c r="D6" s="71" t="s">
        <v>605</v>
      </c>
      <c r="E6" s="70" t="s">
        <v>606</v>
      </c>
      <c r="F6" s="70" t="s">
        <v>3549</v>
      </c>
    </row>
    <row r="7" spans="1:6" ht="26.1" customHeight="1">
      <c r="A7" s="70" t="s">
        <v>3550</v>
      </c>
      <c r="B7" s="75" t="s">
        <v>619</v>
      </c>
      <c r="C7" s="70" t="s">
        <v>3551</v>
      </c>
      <c r="D7" s="71" t="s">
        <v>605</v>
      </c>
      <c r="E7" s="70" t="s">
        <v>3312</v>
      </c>
      <c r="F7" s="70" t="s">
        <v>2416</v>
      </c>
    </row>
    <row r="8" spans="1:6" ht="26.1" customHeight="1">
      <c r="A8" s="70" t="s">
        <v>3552</v>
      </c>
      <c r="B8" s="76" t="s">
        <v>603</v>
      </c>
      <c r="C8" s="70" t="s">
        <v>650</v>
      </c>
      <c r="D8" s="71" t="s">
        <v>605</v>
      </c>
      <c r="E8" s="70" t="s">
        <v>3102</v>
      </c>
      <c r="F8" s="70" t="s">
        <v>607</v>
      </c>
    </row>
    <row r="9" spans="1:6" ht="26.1" customHeight="1">
      <c r="A9" s="70" t="s">
        <v>3553</v>
      </c>
      <c r="B9" s="76" t="s">
        <v>603</v>
      </c>
      <c r="C9" s="70" t="s">
        <v>3554</v>
      </c>
      <c r="D9" s="71" t="s">
        <v>605</v>
      </c>
      <c r="E9" s="70" t="s">
        <v>2661</v>
      </c>
      <c r="F9" s="70" t="s">
        <v>607</v>
      </c>
    </row>
    <row r="10" spans="1:6" ht="26.1" customHeight="1">
      <c r="A10" s="70" t="s">
        <v>3555</v>
      </c>
      <c r="B10" s="76" t="s">
        <v>603</v>
      </c>
      <c r="C10" s="70" t="s">
        <v>749</v>
      </c>
      <c r="D10" s="71" t="s">
        <v>605</v>
      </c>
      <c r="E10" s="70" t="s">
        <v>610</v>
      </c>
      <c r="F10" s="70" t="s">
        <v>607</v>
      </c>
    </row>
    <row r="11" spans="1:6" ht="26.1" customHeight="1">
      <c r="A11" s="70" t="s">
        <v>3556</v>
      </c>
      <c r="B11" s="76" t="s">
        <v>603</v>
      </c>
      <c r="C11" s="70" t="s">
        <v>609</v>
      </c>
      <c r="D11" s="71" t="s">
        <v>605</v>
      </c>
      <c r="E11" s="70" t="s">
        <v>610</v>
      </c>
      <c r="F11" s="70" t="s">
        <v>607</v>
      </c>
    </row>
    <row r="12" spans="1:6" ht="26.1" customHeight="1">
      <c r="A12" s="70" t="s">
        <v>3557</v>
      </c>
      <c r="B12" s="75" t="s">
        <v>619</v>
      </c>
      <c r="C12" s="70" t="s">
        <v>609</v>
      </c>
      <c r="D12" s="71" t="s">
        <v>605</v>
      </c>
      <c r="E12" s="70" t="s">
        <v>620</v>
      </c>
      <c r="F12" s="70" t="s">
        <v>691</v>
      </c>
    </row>
    <row r="13" spans="1:6" ht="26.1" customHeight="1">
      <c r="A13" s="70" t="s">
        <v>3558</v>
      </c>
      <c r="B13" s="76" t="s">
        <v>603</v>
      </c>
      <c r="C13" s="70" t="s">
        <v>3559</v>
      </c>
      <c r="D13" s="71" t="s">
        <v>605</v>
      </c>
      <c r="E13" s="70" t="s">
        <v>610</v>
      </c>
      <c r="F13" s="70" t="s">
        <v>691</v>
      </c>
    </row>
    <row r="14" spans="1:6" ht="26.1" customHeight="1">
      <c r="A14" s="70" t="s">
        <v>3560</v>
      </c>
      <c r="B14" s="76" t="s">
        <v>603</v>
      </c>
      <c r="C14" s="70" t="s">
        <v>3561</v>
      </c>
      <c r="D14" s="71" t="s">
        <v>605</v>
      </c>
      <c r="E14" s="70" t="s">
        <v>610</v>
      </c>
      <c r="F14" s="70" t="s">
        <v>3562</v>
      </c>
    </row>
    <row r="15" spans="1:6" ht="26.1" customHeight="1">
      <c r="A15" s="70" t="s">
        <v>3563</v>
      </c>
      <c r="B15" s="75" t="s">
        <v>619</v>
      </c>
      <c r="C15" s="70" t="s">
        <v>3564</v>
      </c>
      <c r="D15" s="71" t="s">
        <v>605</v>
      </c>
      <c r="E15" s="70" t="s">
        <v>620</v>
      </c>
      <c r="F15" s="70" t="s">
        <v>3565</v>
      </c>
    </row>
    <row r="16" spans="1:6" ht="26.1" customHeight="1">
      <c r="A16" s="70" t="s">
        <v>3566</v>
      </c>
      <c r="B16" s="76" t="s">
        <v>603</v>
      </c>
      <c r="C16" s="70" t="s">
        <v>3567</v>
      </c>
      <c r="D16" s="71" t="s">
        <v>605</v>
      </c>
      <c r="E16" s="70" t="s">
        <v>610</v>
      </c>
      <c r="F16" s="70" t="s">
        <v>691</v>
      </c>
    </row>
    <row r="17" spans="1:6" ht="26.1" customHeight="1">
      <c r="A17" s="70" t="s">
        <v>301</v>
      </c>
      <c r="B17" s="76" t="s">
        <v>603</v>
      </c>
      <c r="C17" s="70" t="s">
        <v>3568</v>
      </c>
      <c r="D17" s="71" t="s">
        <v>605</v>
      </c>
      <c r="E17" s="70" t="s">
        <v>610</v>
      </c>
      <c r="F17" s="70" t="s">
        <v>3569</v>
      </c>
    </row>
    <row r="18" spans="1:6" ht="26.1" customHeight="1">
      <c r="A18" s="70" t="s">
        <v>3570</v>
      </c>
      <c r="B18" s="76" t="s">
        <v>603</v>
      </c>
      <c r="C18" s="70" t="s">
        <v>3571</v>
      </c>
      <c r="D18" s="71" t="s">
        <v>605</v>
      </c>
      <c r="E18" s="70" t="s">
        <v>3146</v>
      </c>
      <c r="F18" s="70" t="s">
        <v>691</v>
      </c>
    </row>
    <row r="19" spans="1:6" ht="26.1" customHeight="1">
      <c r="A19" s="70" t="s">
        <v>3572</v>
      </c>
      <c r="B19" s="76" t="s">
        <v>603</v>
      </c>
      <c r="C19" s="70" t="s">
        <v>1239</v>
      </c>
      <c r="D19" s="71" t="s">
        <v>605</v>
      </c>
      <c r="E19" s="70" t="s">
        <v>610</v>
      </c>
      <c r="F19" s="70" t="s">
        <v>607</v>
      </c>
    </row>
    <row r="20" spans="1:6" ht="26.1" customHeight="1">
      <c r="A20" s="70" t="s">
        <v>3573</v>
      </c>
      <c r="B20" s="76" t="s">
        <v>603</v>
      </c>
      <c r="C20" s="70" t="s">
        <v>3574</v>
      </c>
      <c r="D20" s="71" t="s">
        <v>605</v>
      </c>
      <c r="E20" s="70" t="s">
        <v>1445</v>
      </c>
      <c r="F20" s="70" t="s">
        <v>3575</v>
      </c>
    </row>
    <row r="21" spans="1:6" ht="26.1" customHeight="1">
      <c r="A21" s="70" t="s">
        <v>3576</v>
      </c>
      <c r="B21" s="76" t="s">
        <v>603</v>
      </c>
      <c r="C21" s="70" t="s">
        <v>3554</v>
      </c>
      <c r="D21" s="71" t="s">
        <v>605</v>
      </c>
      <c r="E21" s="70" t="s">
        <v>2661</v>
      </c>
      <c r="F21" s="70" t="s">
        <v>607</v>
      </c>
    </row>
    <row r="22" spans="1:6" ht="26.1" customHeight="1">
      <c r="A22" s="70" t="s">
        <v>3577</v>
      </c>
      <c r="B22" s="76" t="s">
        <v>603</v>
      </c>
      <c r="C22" s="70" t="s">
        <v>1666</v>
      </c>
      <c r="D22" s="71" t="s">
        <v>605</v>
      </c>
      <c r="E22" s="70" t="s">
        <v>610</v>
      </c>
      <c r="F22" s="70" t="s">
        <v>607</v>
      </c>
    </row>
    <row r="23" spans="1:6" ht="26.1" customHeight="1">
      <c r="A23" s="70" t="s">
        <v>139</v>
      </c>
      <c r="B23" s="76" t="s">
        <v>603</v>
      </c>
      <c r="C23" s="70" t="s">
        <v>3578</v>
      </c>
      <c r="D23" s="71" t="s">
        <v>605</v>
      </c>
      <c r="E23" s="70" t="s">
        <v>606</v>
      </c>
      <c r="F23" s="70" t="s">
        <v>1434</v>
      </c>
    </row>
    <row r="24" spans="1:6" ht="26.1" customHeight="1">
      <c r="A24" s="70" t="s">
        <v>273</v>
      </c>
      <c r="B24" s="76" t="s">
        <v>603</v>
      </c>
      <c r="C24" s="70" t="s">
        <v>3579</v>
      </c>
      <c r="D24" s="71" t="s">
        <v>605</v>
      </c>
      <c r="E24" s="70" t="s">
        <v>610</v>
      </c>
      <c r="F24" s="70" t="s">
        <v>3580</v>
      </c>
    </row>
    <row r="25" spans="1:6" ht="26.1" customHeight="1">
      <c r="A25" s="70" t="s">
        <v>227</v>
      </c>
      <c r="B25" s="77" t="s">
        <v>615</v>
      </c>
      <c r="C25" s="70" t="s">
        <v>3581</v>
      </c>
      <c r="D25" s="71" t="s">
        <v>605</v>
      </c>
      <c r="E25" s="70" t="s">
        <v>617</v>
      </c>
      <c r="F25" s="70" t="s">
        <v>3582</v>
      </c>
    </row>
    <row r="26" spans="1:6" ht="26.1" customHeight="1">
      <c r="A26" s="70" t="s">
        <v>3583</v>
      </c>
      <c r="B26" s="76" t="s">
        <v>603</v>
      </c>
      <c r="C26" s="70" t="s">
        <v>3584</v>
      </c>
      <c r="D26" s="71" t="s">
        <v>605</v>
      </c>
      <c r="E26" s="70" t="s">
        <v>606</v>
      </c>
      <c r="F26" s="70" t="s">
        <v>691</v>
      </c>
    </row>
    <row r="27" spans="1:6" ht="26.1" customHeight="1">
      <c r="A27" s="70" t="s">
        <v>3585</v>
      </c>
      <c r="B27" s="76" t="s">
        <v>603</v>
      </c>
      <c r="C27" s="70" t="s">
        <v>3121</v>
      </c>
      <c r="D27" s="71" t="s">
        <v>605</v>
      </c>
      <c r="E27" s="70" t="s">
        <v>2661</v>
      </c>
      <c r="F27" s="70" t="s">
        <v>607</v>
      </c>
    </row>
    <row r="28" spans="1:6" ht="26.1" customHeight="1">
      <c r="A28" s="70" t="s">
        <v>3586</v>
      </c>
      <c r="B28" s="76" t="s">
        <v>603</v>
      </c>
      <c r="C28" s="70" t="s">
        <v>3587</v>
      </c>
      <c r="D28" s="71" t="s">
        <v>605</v>
      </c>
      <c r="E28" s="70" t="s">
        <v>610</v>
      </c>
      <c r="F28" s="70" t="s">
        <v>3588</v>
      </c>
    </row>
    <row r="29" spans="1:6" ht="26.1" customHeight="1">
      <c r="A29" s="70" t="s">
        <v>207</v>
      </c>
      <c r="B29" s="75" t="s">
        <v>619</v>
      </c>
      <c r="C29" s="70" t="s">
        <v>3589</v>
      </c>
      <c r="D29" s="71" t="s">
        <v>605</v>
      </c>
      <c r="E29" s="70" t="s">
        <v>3590</v>
      </c>
      <c r="F29" s="70" t="s">
        <v>3591</v>
      </c>
    </row>
    <row r="30" spans="1:6" ht="26.1" customHeight="1">
      <c r="A30" s="70" t="s">
        <v>179</v>
      </c>
      <c r="B30" s="76" t="s">
        <v>603</v>
      </c>
      <c r="C30" s="72" t="s">
        <v>3592</v>
      </c>
      <c r="D30" s="73" t="s">
        <v>605</v>
      </c>
      <c r="E30" s="70" t="s">
        <v>3593</v>
      </c>
      <c r="F30" s="70" t="s">
        <v>691</v>
      </c>
    </row>
    <row r="31" spans="1:6" ht="26.1" customHeight="1">
      <c r="A31" s="70" t="s">
        <v>3594</v>
      </c>
      <c r="B31" s="76" t="s">
        <v>603</v>
      </c>
      <c r="C31" s="72" t="s">
        <v>3595</v>
      </c>
      <c r="D31" s="73" t="s">
        <v>605</v>
      </c>
      <c r="E31" s="70" t="s">
        <v>606</v>
      </c>
      <c r="F31" s="70" t="s">
        <v>3127</v>
      </c>
    </row>
    <row r="32" spans="1:6" ht="26.1" customHeight="1">
      <c r="A32" s="70" t="s">
        <v>3596</v>
      </c>
      <c r="B32" s="76" t="s">
        <v>603</v>
      </c>
      <c r="C32" s="72" t="s">
        <v>609</v>
      </c>
      <c r="D32" s="73" t="s">
        <v>605</v>
      </c>
      <c r="E32" s="70" t="s">
        <v>1602</v>
      </c>
      <c r="F32" s="70" t="s">
        <v>607</v>
      </c>
    </row>
    <row r="33" spans="1:6" ht="26.1" customHeight="1">
      <c r="A33" s="70" t="s">
        <v>243</v>
      </c>
      <c r="B33" s="76" t="s">
        <v>603</v>
      </c>
      <c r="C33" s="72" t="s">
        <v>3597</v>
      </c>
      <c r="D33" s="73" t="s">
        <v>605</v>
      </c>
      <c r="E33" s="70" t="s">
        <v>3146</v>
      </c>
      <c r="F33" s="70" t="s">
        <v>3598</v>
      </c>
    </row>
    <row r="34" spans="1:6" ht="26.1" customHeight="1">
      <c r="A34" s="70" t="s">
        <v>3599</v>
      </c>
      <c r="B34" s="76" t="s">
        <v>603</v>
      </c>
      <c r="C34" s="72" t="s">
        <v>3554</v>
      </c>
      <c r="D34" s="73" t="s">
        <v>605</v>
      </c>
      <c r="E34" s="70" t="s">
        <v>2661</v>
      </c>
      <c r="F34" s="70" t="s">
        <v>607</v>
      </c>
    </row>
    <row r="35" spans="1:6" ht="26.1" customHeight="1">
      <c r="A35" s="70" t="s">
        <v>3600</v>
      </c>
      <c r="B35" s="76" t="s">
        <v>603</v>
      </c>
      <c r="C35" s="72" t="s">
        <v>3486</v>
      </c>
      <c r="D35" s="73" t="s">
        <v>605</v>
      </c>
      <c r="E35" s="70" t="s">
        <v>2661</v>
      </c>
      <c r="F35" s="70" t="s">
        <v>607</v>
      </c>
    </row>
    <row r="36" spans="1:6" ht="26.1" customHeight="1">
      <c r="A36" s="70" t="s">
        <v>3601</v>
      </c>
      <c r="B36" s="75" t="s">
        <v>619</v>
      </c>
      <c r="C36" s="72" t="s">
        <v>3492</v>
      </c>
      <c r="D36" s="73" t="s">
        <v>3422</v>
      </c>
      <c r="E36" s="70" t="s">
        <v>2975</v>
      </c>
      <c r="F36" s="70" t="s">
        <v>3602</v>
      </c>
    </row>
    <row r="37" spans="1:6" ht="26.1" customHeight="1">
      <c r="A37" s="70" t="s">
        <v>3603</v>
      </c>
      <c r="B37" s="76" t="s">
        <v>603</v>
      </c>
      <c r="C37" s="70" t="s">
        <v>632</v>
      </c>
      <c r="D37" s="71" t="s">
        <v>605</v>
      </c>
      <c r="E37" s="70" t="s">
        <v>2661</v>
      </c>
      <c r="F37" s="70" t="s">
        <v>607</v>
      </c>
    </row>
    <row r="38" spans="1:6" ht="26.1" customHeight="1">
      <c r="A38" s="70" t="s">
        <v>3604</v>
      </c>
      <c r="B38" s="76" t="s">
        <v>603</v>
      </c>
      <c r="C38" s="74" t="s">
        <v>2974</v>
      </c>
      <c r="D38" s="71" t="s">
        <v>605</v>
      </c>
      <c r="E38" s="70" t="s">
        <v>2975</v>
      </c>
      <c r="F38" s="70" t="s">
        <v>607</v>
      </c>
    </row>
    <row r="39" spans="1:6" ht="26.1" customHeight="1">
      <c r="A39" s="70" t="s">
        <v>3605</v>
      </c>
      <c r="B39" s="76" t="s">
        <v>603</v>
      </c>
      <c r="C39" s="70" t="s">
        <v>650</v>
      </c>
      <c r="D39" s="71" t="s">
        <v>605</v>
      </c>
      <c r="E39" s="70" t="s">
        <v>3102</v>
      </c>
      <c r="F39" s="70" t="s">
        <v>607</v>
      </c>
    </row>
    <row r="40" spans="1:6" ht="26.1" customHeight="1">
      <c r="A40" s="70" t="s">
        <v>3606</v>
      </c>
      <c r="B40" s="76" t="s">
        <v>603</v>
      </c>
      <c r="C40" s="70" t="s">
        <v>609</v>
      </c>
      <c r="D40" s="71" t="s">
        <v>605</v>
      </c>
      <c r="E40" s="70" t="s">
        <v>876</v>
      </c>
      <c r="F40" s="70" t="s">
        <v>607</v>
      </c>
    </row>
    <row r="41" spans="1:6" ht="26.1" customHeight="1">
      <c r="A41" s="70" t="s">
        <v>3607</v>
      </c>
      <c r="B41" s="76" t="s">
        <v>603</v>
      </c>
      <c r="C41" s="70" t="s">
        <v>3194</v>
      </c>
      <c r="D41" s="71" t="s">
        <v>605</v>
      </c>
      <c r="E41" s="70" t="s">
        <v>610</v>
      </c>
      <c r="F41" s="70" t="s">
        <v>607</v>
      </c>
    </row>
    <row r="42" spans="1:6" ht="26.1" customHeight="1">
      <c r="A42" s="70" t="s">
        <v>3608</v>
      </c>
      <c r="B42" s="76" t="s">
        <v>603</v>
      </c>
      <c r="C42" s="70" t="s">
        <v>653</v>
      </c>
      <c r="D42" s="71" t="s">
        <v>605</v>
      </c>
      <c r="E42" s="70" t="s">
        <v>610</v>
      </c>
      <c r="F42" s="70" t="s">
        <v>607</v>
      </c>
    </row>
    <row r="43" spans="1:6" ht="26.1" customHeight="1">
      <c r="A43" s="70" t="s">
        <v>3609</v>
      </c>
      <c r="B43" s="76" t="s">
        <v>603</v>
      </c>
      <c r="C43" s="70" t="s">
        <v>632</v>
      </c>
      <c r="D43" s="71" t="s">
        <v>605</v>
      </c>
      <c r="E43" s="70" t="s">
        <v>2661</v>
      </c>
      <c r="F43" s="70" t="s">
        <v>607</v>
      </c>
    </row>
    <row r="44" spans="1:6" ht="26.1" customHeight="1">
      <c r="A44" s="70" t="s">
        <v>3610</v>
      </c>
      <c r="B44" s="76" t="s">
        <v>603</v>
      </c>
      <c r="C44" s="70" t="s">
        <v>3611</v>
      </c>
      <c r="D44" s="71" t="s">
        <v>605</v>
      </c>
      <c r="E44" s="70" t="s">
        <v>3612</v>
      </c>
      <c r="F44" s="70" t="s">
        <v>3613</v>
      </c>
    </row>
    <row r="45" spans="1:6" ht="26.1" customHeight="1">
      <c r="A45" s="70" t="s">
        <v>3614</v>
      </c>
      <c r="B45" s="76" t="s">
        <v>603</v>
      </c>
      <c r="C45" s="70" t="s">
        <v>682</v>
      </c>
      <c r="D45" s="71" t="s">
        <v>605</v>
      </c>
      <c r="E45" s="70" t="s">
        <v>3615</v>
      </c>
      <c r="F45" s="70" t="s">
        <v>607</v>
      </c>
    </row>
    <row r="46" spans="1:6" ht="26.1" customHeight="1">
      <c r="A46" s="70" t="s">
        <v>3616</v>
      </c>
      <c r="B46" s="77" t="s">
        <v>615</v>
      </c>
      <c r="C46" s="70" t="s">
        <v>3617</v>
      </c>
      <c r="D46" s="71" t="s">
        <v>605</v>
      </c>
      <c r="E46" s="70" t="s">
        <v>3158</v>
      </c>
      <c r="F46" s="70" t="s">
        <v>3618</v>
      </c>
    </row>
    <row r="47" spans="1:6" ht="26.1" customHeight="1">
      <c r="A47" s="70" t="s">
        <v>3619</v>
      </c>
      <c r="B47" s="76" t="s">
        <v>603</v>
      </c>
      <c r="C47" s="74" t="s">
        <v>3620</v>
      </c>
      <c r="D47" s="71" t="s">
        <v>605</v>
      </c>
      <c r="E47" s="70" t="s">
        <v>2661</v>
      </c>
      <c r="F47" s="70" t="s">
        <v>3621</v>
      </c>
    </row>
    <row r="48" spans="1:6" ht="26.1" customHeight="1">
      <c r="A48" s="70" t="s">
        <v>300</v>
      </c>
      <c r="B48" s="76" t="s">
        <v>603</v>
      </c>
      <c r="C48" s="74" t="s">
        <v>3622</v>
      </c>
      <c r="D48" s="71" t="s">
        <v>605</v>
      </c>
      <c r="E48" s="70" t="s">
        <v>610</v>
      </c>
      <c r="F48" s="70" t="s">
        <v>3623</v>
      </c>
    </row>
    <row r="49" spans="1:6" ht="26.1" customHeight="1">
      <c r="A49" s="70" t="s">
        <v>3624</v>
      </c>
      <c r="B49" s="76" t="s">
        <v>603</v>
      </c>
      <c r="C49" s="70" t="s">
        <v>829</v>
      </c>
      <c r="D49" s="71" t="s">
        <v>605</v>
      </c>
      <c r="E49" s="70" t="s">
        <v>610</v>
      </c>
      <c r="F49" s="70" t="s">
        <v>607</v>
      </c>
    </row>
    <row r="50" spans="1:6" ht="26.1" customHeight="1">
      <c r="A50" s="70" t="s">
        <v>3625</v>
      </c>
      <c r="B50" s="75" t="s">
        <v>619</v>
      </c>
      <c r="C50" s="74" t="s">
        <v>3626</v>
      </c>
      <c r="D50" s="71" t="s">
        <v>605</v>
      </c>
      <c r="E50" s="70" t="s">
        <v>3146</v>
      </c>
      <c r="F50" s="70" t="s">
        <v>691</v>
      </c>
    </row>
    <row r="51" spans="1:6" ht="26.1" customHeight="1">
      <c r="A51" s="70" t="s">
        <v>3627</v>
      </c>
      <c r="B51" s="76" t="s">
        <v>603</v>
      </c>
      <c r="C51" s="70" t="s">
        <v>3628</v>
      </c>
      <c r="D51" s="71" t="s">
        <v>605</v>
      </c>
      <c r="E51" s="70" t="s">
        <v>617</v>
      </c>
      <c r="F51" s="70" t="s">
        <v>870</v>
      </c>
    </row>
    <row r="52" spans="1:6" ht="26.1" customHeight="1">
      <c r="A52" s="70" t="s">
        <v>3629</v>
      </c>
      <c r="B52" s="76" t="s">
        <v>603</v>
      </c>
      <c r="C52" s="70" t="s">
        <v>1239</v>
      </c>
      <c r="D52" s="71" t="s">
        <v>605</v>
      </c>
      <c r="E52" s="70" t="s">
        <v>606</v>
      </c>
      <c r="F52" s="70" t="s">
        <v>607</v>
      </c>
    </row>
    <row r="53" spans="1:6" ht="26.1" customHeight="1">
      <c r="A53" s="70" t="s">
        <v>3630</v>
      </c>
      <c r="B53" s="75" t="s">
        <v>619</v>
      </c>
      <c r="C53" s="70" t="s">
        <v>3631</v>
      </c>
      <c r="D53" s="71" t="s">
        <v>605</v>
      </c>
      <c r="E53" s="70" t="s">
        <v>3146</v>
      </c>
      <c r="F53" s="70" t="s">
        <v>3632</v>
      </c>
    </row>
    <row r="54" spans="1:6" ht="26.1" customHeight="1">
      <c r="A54" s="70" t="s">
        <v>3633</v>
      </c>
      <c r="B54" s="75" t="s">
        <v>619</v>
      </c>
      <c r="C54" s="74" t="s">
        <v>3634</v>
      </c>
      <c r="D54" s="71" t="s">
        <v>605</v>
      </c>
      <c r="E54" s="70" t="s">
        <v>3146</v>
      </c>
      <c r="F54" s="70" t="s">
        <v>691</v>
      </c>
    </row>
    <row r="55" spans="1:6" ht="26.1" customHeight="1">
      <c r="A55" s="70" t="s">
        <v>164</v>
      </c>
      <c r="B55" s="76" t="s">
        <v>603</v>
      </c>
      <c r="C55" s="70" t="s">
        <v>3635</v>
      </c>
      <c r="D55" s="71" t="s">
        <v>605</v>
      </c>
      <c r="E55" s="70" t="s">
        <v>606</v>
      </c>
      <c r="F55" s="70" t="s">
        <v>1627</v>
      </c>
    </row>
    <row r="56" spans="1:6" ht="26.1" customHeight="1">
      <c r="A56" s="70" t="s">
        <v>3636</v>
      </c>
      <c r="B56" s="75" t="s">
        <v>619</v>
      </c>
      <c r="C56" s="70" t="s">
        <v>3637</v>
      </c>
      <c r="D56" s="71" t="s">
        <v>605</v>
      </c>
      <c r="E56" s="70" t="s">
        <v>876</v>
      </c>
      <c r="F56" s="70" t="s">
        <v>3638</v>
      </c>
    </row>
    <row r="57" spans="1:6" ht="26.1" customHeight="1">
      <c r="A57" s="70" t="s">
        <v>221</v>
      </c>
      <c r="B57" s="76" t="s">
        <v>603</v>
      </c>
      <c r="C57" s="70" t="s">
        <v>3639</v>
      </c>
      <c r="D57" s="71" t="s">
        <v>605</v>
      </c>
      <c r="E57" s="70" t="s">
        <v>610</v>
      </c>
      <c r="F57" s="70" t="s">
        <v>3640</v>
      </c>
    </row>
    <row r="58" spans="1:6" ht="26.1" customHeight="1">
      <c r="A58" s="70" t="s">
        <v>3641</v>
      </c>
      <c r="B58" s="76" t="s">
        <v>603</v>
      </c>
      <c r="C58" s="74" t="s">
        <v>650</v>
      </c>
      <c r="D58" s="71" t="s">
        <v>605</v>
      </c>
      <c r="E58" s="70" t="s">
        <v>1047</v>
      </c>
      <c r="F58" s="70" t="s">
        <v>607</v>
      </c>
    </row>
    <row r="59" spans="1:6" ht="26.1" customHeight="1">
      <c r="A59" s="70" t="s">
        <v>3642</v>
      </c>
      <c r="B59" s="76" t="s">
        <v>603</v>
      </c>
      <c r="C59" s="74" t="s">
        <v>3643</v>
      </c>
      <c r="D59" s="71" t="s">
        <v>605</v>
      </c>
      <c r="E59" s="70" t="s">
        <v>3644</v>
      </c>
      <c r="F59" s="70" t="s">
        <v>607</v>
      </c>
    </row>
    <row r="60" spans="1:6" ht="26.1" customHeight="1">
      <c r="A60" s="70" t="s">
        <v>3645</v>
      </c>
      <c r="B60" s="76" t="s">
        <v>603</v>
      </c>
      <c r="C60" s="70" t="s">
        <v>1802</v>
      </c>
      <c r="D60" s="71" t="s">
        <v>605</v>
      </c>
      <c r="E60" s="70" t="s">
        <v>610</v>
      </c>
      <c r="F60" s="70" t="s">
        <v>2606</v>
      </c>
    </row>
    <row r="61" spans="1:6" ht="26.1" customHeight="1">
      <c r="A61" s="70" t="s">
        <v>3646</v>
      </c>
      <c r="B61" s="75" t="s">
        <v>619</v>
      </c>
      <c r="C61" s="70" t="s">
        <v>3647</v>
      </c>
      <c r="D61" s="71" t="s">
        <v>605</v>
      </c>
      <c r="E61" s="70" t="s">
        <v>3146</v>
      </c>
      <c r="F61" s="70" t="s">
        <v>691</v>
      </c>
    </row>
    <row r="62" spans="1:6" ht="26.1" customHeight="1">
      <c r="A62" s="70" t="s">
        <v>3648</v>
      </c>
      <c r="B62" s="76" t="s">
        <v>603</v>
      </c>
      <c r="C62" s="70" t="s">
        <v>3649</v>
      </c>
      <c r="D62" s="71" t="s">
        <v>605</v>
      </c>
      <c r="E62" s="70" t="s">
        <v>610</v>
      </c>
      <c r="F62" s="70" t="s">
        <v>691</v>
      </c>
    </row>
    <row r="63" spans="1:6" ht="26.1" customHeight="1">
      <c r="A63" s="70" t="s">
        <v>228</v>
      </c>
      <c r="B63" s="77" t="s">
        <v>615</v>
      </c>
      <c r="C63" s="70" t="s">
        <v>3650</v>
      </c>
      <c r="D63" s="71" t="s">
        <v>605</v>
      </c>
      <c r="E63" s="70" t="s">
        <v>617</v>
      </c>
      <c r="F63" s="70" t="s">
        <v>3651</v>
      </c>
    </row>
    <row r="64" spans="1:6" ht="26.1" customHeight="1">
      <c r="A64" s="70" t="s">
        <v>3652</v>
      </c>
      <c r="B64" s="76" t="s">
        <v>603</v>
      </c>
      <c r="C64" s="74" t="s">
        <v>2508</v>
      </c>
      <c r="D64" s="71" t="s">
        <v>605</v>
      </c>
      <c r="E64" s="70" t="s">
        <v>610</v>
      </c>
      <c r="F64" s="70" t="s">
        <v>691</v>
      </c>
    </row>
    <row r="65" spans="1:6" ht="26.1" customHeight="1">
      <c r="A65" s="70" t="s">
        <v>3653</v>
      </c>
      <c r="B65" s="75" t="s">
        <v>619</v>
      </c>
      <c r="C65" s="70" t="s">
        <v>3654</v>
      </c>
      <c r="D65" s="71" t="s">
        <v>605</v>
      </c>
      <c r="E65" s="70" t="s">
        <v>620</v>
      </c>
      <c r="F65" s="70" t="s">
        <v>3655</v>
      </c>
    </row>
    <row r="66" spans="1:6" ht="26.1" customHeight="1">
      <c r="A66" s="70" t="s">
        <v>3656</v>
      </c>
      <c r="B66" s="76" t="s">
        <v>603</v>
      </c>
      <c r="C66" s="70" t="s">
        <v>3657</v>
      </c>
      <c r="D66" s="71" t="s">
        <v>605</v>
      </c>
      <c r="E66" s="70" t="s">
        <v>606</v>
      </c>
      <c r="F66" s="70" t="s">
        <v>3658</v>
      </c>
    </row>
    <row r="67" spans="1:6" ht="15">
      <c r="C67" s="53"/>
      <c r="D67" s="54"/>
    </row>
    <row r="68" spans="1:6" ht="15">
      <c r="C68" s="78" t="s">
        <v>633</v>
      </c>
      <c r="D68" s="79" t="str">
        <f>COUNTIF(D2:D66,"☑")&amp;" / "&amp;COUNTA(A2:A66)</f>
        <v>1 / 65</v>
      </c>
    </row>
  </sheetData>
  <conditionalFormatting sqref="B2:B28">
    <cfRule type="expression" dxfId="23" priority="1">
      <formula>B2="A"</formula>
    </cfRule>
    <cfRule type="expression" dxfId="22" priority="2">
      <formula>B2="B"</formula>
    </cfRule>
    <cfRule type="expression" dxfId="21" priority="3">
      <formula>B2="C"</formula>
    </cfRule>
  </conditionalFormatting>
  <conditionalFormatting sqref="D2:D66">
    <cfRule type="expression" dxfId="20" priority="4">
      <formula>D2="☑"</formula>
    </cfRule>
  </conditionalFormatting>
  <dataValidations count="1">
    <dataValidation type="list" sqref="D2:D66" xr:uid="{00000000-0002-0000-2400-000000000000}">
      <formula1>"☐,☑"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57"/>
  <sheetViews>
    <sheetView workbookViewId="0"/>
  </sheetViews>
  <sheetFormatPr defaultRowHeight="14.25"/>
  <cols>
    <col min="1" max="1" width="34" customWidth="1"/>
    <col min="2" max="2" width="10" customWidth="1"/>
    <col min="3" max="3" width="48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69" t="s">
        <v>598</v>
      </c>
      <c r="B1" s="69" t="s">
        <v>599</v>
      </c>
      <c r="C1" s="69" t="s">
        <v>13</v>
      </c>
      <c r="D1" s="69" t="s">
        <v>3</v>
      </c>
      <c r="E1" s="69" t="s">
        <v>600</v>
      </c>
      <c r="F1" s="69" t="s">
        <v>601</v>
      </c>
    </row>
    <row r="2" spans="1:6" ht="26.1" customHeight="1">
      <c r="A2" s="70" t="s">
        <v>3659</v>
      </c>
      <c r="B2" s="76" t="s">
        <v>603</v>
      </c>
      <c r="C2" s="70" t="s">
        <v>3176</v>
      </c>
      <c r="D2" s="71" t="s">
        <v>605</v>
      </c>
      <c r="E2" s="70" t="s">
        <v>2661</v>
      </c>
      <c r="F2" s="70" t="s">
        <v>607</v>
      </c>
    </row>
    <row r="3" spans="1:6" ht="26.1" customHeight="1">
      <c r="A3" s="70" t="s">
        <v>246</v>
      </c>
      <c r="B3" s="76" t="s">
        <v>603</v>
      </c>
      <c r="C3" s="70" t="s">
        <v>3660</v>
      </c>
      <c r="D3" s="71" t="s">
        <v>605</v>
      </c>
      <c r="E3" s="70" t="s">
        <v>606</v>
      </c>
      <c r="F3" s="70" t="s">
        <v>3661</v>
      </c>
    </row>
    <row r="4" spans="1:6" ht="26.1" customHeight="1">
      <c r="A4" s="70" t="s">
        <v>3662</v>
      </c>
      <c r="B4" s="76" t="s">
        <v>603</v>
      </c>
      <c r="C4" s="70" t="s">
        <v>1904</v>
      </c>
      <c r="D4" s="71" t="s">
        <v>605</v>
      </c>
      <c r="E4" s="70" t="s">
        <v>610</v>
      </c>
      <c r="F4" s="70" t="s">
        <v>607</v>
      </c>
    </row>
    <row r="5" spans="1:6" ht="26.1" customHeight="1">
      <c r="A5" s="70" t="s">
        <v>3663</v>
      </c>
      <c r="B5" s="76" t="s">
        <v>603</v>
      </c>
      <c r="C5" s="70" t="s">
        <v>682</v>
      </c>
      <c r="D5" s="71" t="s">
        <v>605</v>
      </c>
      <c r="E5" s="70" t="s">
        <v>683</v>
      </c>
      <c r="F5" s="70" t="s">
        <v>870</v>
      </c>
    </row>
    <row r="6" spans="1:6" ht="26.1" customHeight="1">
      <c r="A6" s="70" t="s">
        <v>3664</v>
      </c>
      <c r="B6" s="75" t="s">
        <v>619</v>
      </c>
      <c r="C6" s="70" t="s">
        <v>3665</v>
      </c>
      <c r="D6" s="71" t="s">
        <v>605</v>
      </c>
      <c r="E6" s="70" t="s">
        <v>3146</v>
      </c>
      <c r="F6" s="70" t="s">
        <v>691</v>
      </c>
    </row>
    <row r="7" spans="1:6" ht="26.1" customHeight="1">
      <c r="A7" s="70" t="s">
        <v>3666</v>
      </c>
      <c r="B7" s="76" t="s">
        <v>603</v>
      </c>
      <c r="C7" s="70" t="s">
        <v>793</v>
      </c>
      <c r="D7" s="71" t="s">
        <v>605</v>
      </c>
      <c r="E7" s="70" t="s">
        <v>610</v>
      </c>
      <c r="F7" s="70" t="s">
        <v>607</v>
      </c>
    </row>
    <row r="8" spans="1:6" ht="26.1" customHeight="1">
      <c r="A8" s="70" t="s">
        <v>3667</v>
      </c>
      <c r="B8" s="76" t="s">
        <v>603</v>
      </c>
      <c r="C8" s="70" t="s">
        <v>3668</v>
      </c>
      <c r="D8" s="71" t="s">
        <v>605</v>
      </c>
      <c r="E8" s="70" t="s">
        <v>606</v>
      </c>
      <c r="F8" s="70" t="s">
        <v>607</v>
      </c>
    </row>
    <row r="9" spans="1:6" ht="26.1" customHeight="1">
      <c r="A9" s="70" t="s">
        <v>3669</v>
      </c>
      <c r="B9" s="76" t="s">
        <v>603</v>
      </c>
      <c r="C9" s="70" t="s">
        <v>653</v>
      </c>
      <c r="D9" s="71" t="s">
        <v>605</v>
      </c>
      <c r="E9" s="70" t="s">
        <v>610</v>
      </c>
      <c r="F9" s="70" t="s">
        <v>607</v>
      </c>
    </row>
    <row r="10" spans="1:6" ht="26.1" customHeight="1">
      <c r="A10" s="70" t="s">
        <v>3670</v>
      </c>
      <c r="B10" s="76" t="s">
        <v>603</v>
      </c>
      <c r="C10" s="70" t="s">
        <v>3671</v>
      </c>
      <c r="D10" s="71" t="s">
        <v>605</v>
      </c>
      <c r="E10" s="70" t="s">
        <v>3672</v>
      </c>
      <c r="F10" s="70" t="s">
        <v>3673</v>
      </c>
    </row>
    <row r="11" spans="1:6" ht="26.1" customHeight="1">
      <c r="A11" s="70" t="s">
        <v>3279</v>
      </c>
      <c r="B11" s="76" t="s">
        <v>603</v>
      </c>
      <c r="C11" s="70" t="s">
        <v>400</v>
      </c>
      <c r="D11" s="71" t="s">
        <v>605</v>
      </c>
      <c r="E11" s="70" t="s">
        <v>610</v>
      </c>
      <c r="F11" s="70" t="s">
        <v>607</v>
      </c>
    </row>
    <row r="12" spans="1:6" ht="26.1" customHeight="1">
      <c r="A12" s="70" t="s">
        <v>3674</v>
      </c>
      <c r="B12" s="76" t="s">
        <v>603</v>
      </c>
      <c r="C12" s="70" t="s">
        <v>3675</v>
      </c>
      <c r="D12" s="71" t="s">
        <v>605</v>
      </c>
      <c r="E12" s="70" t="s">
        <v>606</v>
      </c>
      <c r="F12" s="70" t="s">
        <v>691</v>
      </c>
    </row>
    <row r="13" spans="1:6" ht="26.1" customHeight="1">
      <c r="A13" s="70" t="s">
        <v>3676</v>
      </c>
      <c r="B13" s="76" t="s">
        <v>603</v>
      </c>
      <c r="C13" s="70" t="s">
        <v>3481</v>
      </c>
      <c r="D13" s="71" t="s">
        <v>605</v>
      </c>
      <c r="E13" s="70" t="s">
        <v>3146</v>
      </c>
      <c r="F13" s="70" t="s">
        <v>691</v>
      </c>
    </row>
    <row r="14" spans="1:6" ht="26.1" customHeight="1">
      <c r="A14" s="70" t="s">
        <v>3677</v>
      </c>
      <c r="B14" s="76" t="s">
        <v>603</v>
      </c>
      <c r="C14" s="70" t="s">
        <v>3678</v>
      </c>
      <c r="D14" s="71" t="s">
        <v>605</v>
      </c>
      <c r="E14" s="70" t="s">
        <v>610</v>
      </c>
      <c r="F14" s="70" t="s">
        <v>3679</v>
      </c>
    </row>
    <row r="15" spans="1:6" ht="26.1" customHeight="1">
      <c r="A15" s="70" t="s">
        <v>3680</v>
      </c>
      <c r="B15" s="76" t="s">
        <v>603</v>
      </c>
      <c r="C15" s="70" t="s">
        <v>3681</v>
      </c>
      <c r="D15" s="71" t="s">
        <v>605</v>
      </c>
      <c r="E15" s="70" t="s">
        <v>3682</v>
      </c>
      <c r="F15" s="70" t="s">
        <v>3683</v>
      </c>
    </row>
    <row r="16" spans="1:6" ht="26.1" customHeight="1">
      <c r="A16" s="70" t="s">
        <v>3684</v>
      </c>
      <c r="B16" s="76" t="s">
        <v>603</v>
      </c>
      <c r="C16" s="70" t="s">
        <v>3685</v>
      </c>
      <c r="D16" s="71" t="s">
        <v>605</v>
      </c>
      <c r="E16" s="70" t="s">
        <v>3686</v>
      </c>
      <c r="F16" s="70" t="s">
        <v>3687</v>
      </c>
    </row>
    <row r="17" spans="1:6" ht="26.1" customHeight="1">
      <c r="A17" s="70" t="s">
        <v>3688</v>
      </c>
      <c r="B17" s="75" t="s">
        <v>619</v>
      </c>
      <c r="C17" s="70" t="s">
        <v>3689</v>
      </c>
      <c r="D17" s="71" t="s">
        <v>605</v>
      </c>
      <c r="E17" s="70" t="s">
        <v>3312</v>
      </c>
      <c r="F17" s="70" t="s">
        <v>691</v>
      </c>
    </row>
    <row r="18" spans="1:6" ht="26.1" customHeight="1">
      <c r="A18" s="70" t="s">
        <v>3690</v>
      </c>
      <c r="B18" s="75" t="s">
        <v>619</v>
      </c>
      <c r="C18" s="70" t="s">
        <v>3691</v>
      </c>
      <c r="D18" s="71" t="s">
        <v>605</v>
      </c>
      <c r="E18" s="70" t="s">
        <v>620</v>
      </c>
      <c r="F18" s="70" t="s">
        <v>3692</v>
      </c>
    </row>
    <row r="19" spans="1:6" ht="26.1" customHeight="1">
      <c r="A19" s="70" t="s">
        <v>242</v>
      </c>
      <c r="B19" s="76" t="s">
        <v>603</v>
      </c>
      <c r="C19" s="70" t="s">
        <v>3693</v>
      </c>
      <c r="D19" s="71" t="s">
        <v>605</v>
      </c>
      <c r="E19" s="70" t="s">
        <v>606</v>
      </c>
      <c r="F19" s="70" t="s">
        <v>3694</v>
      </c>
    </row>
    <row r="20" spans="1:6" ht="26.1" customHeight="1">
      <c r="A20" s="70" t="s">
        <v>3695</v>
      </c>
      <c r="B20" s="76" t="s">
        <v>603</v>
      </c>
      <c r="C20" s="70" t="s">
        <v>3696</v>
      </c>
      <c r="D20" s="71" t="s">
        <v>605</v>
      </c>
      <c r="E20" s="70" t="s">
        <v>3697</v>
      </c>
      <c r="F20" s="70" t="s">
        <v>3698</v>
      </c>
    </row>
    <row r="21" spans="1:6" ht="26.1" customHeight="1">
      <c r="A21" s="70" t="s">
        <v>3699</v>
      </c>
      <c r="B21" s="76" t="s">
        <v>603</v>
      </c>
      <c r="C21" s="70" t="s">
        <v>999</v>
      </c>
      <c r="D21" s="71" t="s">
        <v>605</v>
      </c>
      <c r="E21" s="70" t="s">
        <v>610</v>
      </c>
      <c r="F21" s="70" t="s">
        <v>607</v>
      </c>
    </row>
    <row r="22" spans="1:6" ht="26.1" customHeight="1">
      <c r="A22" s="70" t="s">
        <v>208</v>
      </c>
      <c r="B22" s="76" t="s">
        <v>603</v>
      </c>
      <c r="C22" s="70" t="s">
        <v>3700</v>
      </c>
      <c r="D22" s="71" t="s">
        <v>605</v>
      </c>
      <c r="E22" s="70" t="s">
        <v>3511</v>
      </c>
      <c r="F22" s="70" t="s">
        <v>3701</v>
      </c>
    </row>
    <row r="23" spans="1:6" ht="26.1" customHeight="1">
      <c r="A23" s="70" t="s">
        <v>3702</v>
      </c>
      <c r="B23" s="76" t="s">
        <v>603</v>
      </c>
      <c r="C23" s="70" t="s">
        <v>3703</v>
      </c>
      <c r="D23" s="71" t="s">
        <v>605</v>
      </c>
      <c r="E23" s="70" t="s">
        <v>2661</v>
      </c>
      <c r="F23" s="70" t="s">
        <v>607</v>
      </c>
    </row>
    <row r="24" spans="1:6" ht="26.1" customHeight="1">
      <c r="A24" s="70" t="s">
        <v>3704</v>
      </c>
      <c r="B24" s="75" t="s">
        <v>619</v>
      </c>
      <c r="C24" s="70" t="s">
        <v>3705</v>
      </c>
      <c r="D24" s="71" t="s">
        <v>605</v>
      </c>
      <c r="E24" s="70" t="s">
        <v>620</v>
      </c>
      <c r="F24" s="70" t="s">
        <v>691</v>
      </c>
    </row>
    <row r="25" spans="1:6" ht="26.1" customHeight="1">
      <c r="A25" s="70" t="s">
        <v>3706</v>
      </c>
      <c r="B25" s="75" t="s">
        <v>619</v>
      </c>
      <c r="C25" s="70" t="s">
        <v>3707</v>
      </c>
      <c r="D25" s="71" t="s">
        <v>605</v>
      </c>
      <c r="E25" s="70" t="s">
        <v>3146</v>
      </c>
      <c r="F25" s="70" t="s">
        <v>3708</v>
      </c>
    </row>
    <row r="26" spans="1:6" ht="26.1" customHeight="1">
      <c r="A26" s="70" t="s">
        <v>3709</v>
      </c>
      <c r="B26" s="76" t="s">
        <v>603</v>
      </c>
      <c r="C26" s="70" t="s">
        <v>3710</v>
      </c>
      <c r="D26" s="71" t="s">
        <v>605</v>
      </c>
      <c r="E26" s="70" t="s">
        <v>3256</v>
      </c>
      <c r="F26" s="70" t="s">
        <v>691</v>
      </c>
    </row>
    <row r="27" spans="1:6" ht="26.1" customHeight="1">
      <c r="A27" s="70" t="s">
        <v>3711</v>
      </c>
      <c r="B27" s="76" t="s">
        <v>603</v>
      </c>
      <c r="C27" s="70" t="s">
        <v>609</v>
      </c>
      <c r="D27" s="71" t="s">
        <v>605</v>
      </c>
      <c r="E27" s="70" t="s">
        <v>2661</v>
      </c>
      <c r="F27" s="70" t="s">
        <v>607</v>
      </c>
    </row>
    <row r="28" spans="1:6" ht="26.1" customHeight="1">
      <c r="A28" s="70" t="s">
        <v>3712</v>
      </c>
      <c r="B28" s="75" t="s">
        <v>619</v>
      </c>
      <c r="C28" s="70" t="s">
        <v>3713</v>
      </c>
      <c r="D28" s="71" t="s">
        <v>605</v>
      </c>
      <c r="E28" s="70" t="s">
        <v>2537</v>
      </c>
      <c r="F28" s="70" t="s">
        <v>1627</v>
      </c>
    </row>
    <row r="29" spans="1:6" ht="26.1" customHeight="1">
      <c r="A29" s="70" t="s">
        <v>3714</v>
      </c>
      <c r="B29" s="76" t="s">
        <v>603</v>
      </c>
      <c r="C29" s="72" t="s">
        <v>3715</v>
      </c>
      <c r="D29" s="73" t="s">
        <v>605</v>
      </c>
      <c r="E29" s="70" t="s">
        <v>3716</v>
      </c>
      <c r="F29" s="70" t="s">
        <v>2416</v>
      </c>
    </row>
    <row r="30" spans="1:6" ht="26.1" customHeight="1">
      <c r="A30" s="70" t="s">
        <v>3717</v>
      </c>
      <c r="B30" s="76" t="s">
        <v>603</v>
      </c>
      <c r="C30" s="72" t="s">
        <v>3718</v>
      </c>
      <c r="D30" s="73" t="s">
        <v>605</v>
      </c>
      <c r="E30" s="70" t="s">
        <v>610</v>
      </c>
      <c r="F30" s="70" t="s">
        <v>691</v>
      </c>
    </row>
    <row r="31" spans="1:6" ht="26.1" customHeight="1">
      <c r="A31" s="70" t="s">
        <v>3719</v>
      </c>
      <c r="B31" s="75" t="s">
        <v>619</v>
      </c>
      <c r="C31" s="72" t="s">
        <v>3720</v>
      </c>
      <c r="D31" s="73" t="s">
        <v>605</v>
      </c>
      <c r="E31" s="70" t="s">
        <v>3146</v>
      </c>
      <c r="F31" s="70" t="s">
        <v>691</v>
      </c>
    </row>
    <row r="32" spans="1:6" ht="26.1" customHeight="1">
      <c r="A32" s="70" t="s">
        <v>3721</v>
      </c>
      <c r="B32" s="76" t="s">
        <v>603</v>
      </c>
      <c r="C32" s="72" t="s">
        <v>632</v>
      </c>
      <c r="D32" s="73" t="s">
        <v>605</v>
      </c>
      <c r="E32" s="70" t="s">
        <v>3722</v>
      </c>
      <c r="F32" s="70" t="s">
        <v>607</v>
      </c>
    </row>
    <row r="33" spans="1:6" ht="26.1" customHeight="1">
      <c r="A33" s="70" t="s">
        <v>3723</v>
      </c>
      <c r="B33" s="76" t="s">
        <v>603</v>
      </c>
      <c r="C33" s="72" t="s">
        <v>2239</v>
      </c>
      <c r="D33" s="73" t="s">
        <v>605</v>
      </c>
      <c r="E33" s="70" t="s">
        <v>610</v>
      </c>
      <c r="F33" s="70" t="s">
        <v>607</v>
      </c>
    </row>
    <row r="34" spans="1:6" ht="26.1" customHeight="1">
      <c r="A34" s="70" t="s">
        <v>3724</v>
      </c>
      <c r="B34" s="76" t="s">
        <v>603</v>
      </c>
      <c r="C34" s="72" t="s">
        <v>650</v>
      </c>
      <c r="D34" s="73" t="s">
        <v>605</v>
      </c>
      <c r="E34" s="70" t="s">
        <v>3725</v>
      </c>
      <c r="F34" s="70" t="s">
        <v>607</v>
      </c>
    </row>
    <row r="35" spans="1:6" ht="26.1" customHeight="1">
      <c r="A35" s="70" t="s">
        <v>3726</v>
      </c>
      <c r="B35" s="76" t="s">
        <v>603</v>
      </c>
      <c r="C35" s="72" t="s">
        <v>3554</v>
      </c>
      <c r="D35" s="73" t="s">
        <v>605</v>
      </c>
      <c r="E35" s="70" t="s">
        <v>2661</v>
      </c>
      <c r="F35" s="70" t="s">
        <v>607</v>
      </c>
    </row>
    <row r="36" spans="1:6" ht="26.1" customHeight="1">
      <c r="A36" s="70" t="s">
        <v>3727</v>
      </c>
      <c r="B36" s="76" t="s">
        <v>603</v>
      </c>
      <c r="C36" s="72" t="s">
        <v>3554</v>
      </c>
      <c r="D36" s="73" t="s">
        <v>605</v>
      </c>
      <c r="E36" s="70" t="s">
        <v>2661</v>
      </c>
      <c r="F36" s="70" t="s">
        <v>607</v>
      </c>
    </row>
    <row r="37" spans="1:6" ht="26.1" customHeight="1">
      <c r="A37" s="70" t="s">
        <v>3728</v>
      </c>
      <c r="B37" s="76" t="s">
        <v>603</v>
      </c>
      <c r="C37" s="74" t="s">
        <v>629</v>
      </c>
      <c r="D37" s="71" t="s">
        <v>605</v>
      </c>
      <c r="E37" s="70" t="s">
        <v>606</v>
      </c>
      <c r="F37" s="70" t="s">
        <v>3729</v>
      </c>
    </row>
    <row r="38" spans="1:6" ht="26.1" customHeight="1">
      <c r="A38" s="70" t="s">
        <v>3730</v>
      </c>
      <c r="B38" s="76" t="s">
        <v>603</v>
      </c>
      <c r="C38" s="70" t="s">
        <v>3731</v>
      </c>
      <c r="D38" s="71" t="s">
        <v>605</v>
      </c>
      <c r="E38" s="70" t="s">
        <v>610</v>
      </c>
      <c r="F38" s="70" t="s">
        <v>691</v>
      </c>
    </row>
    <row r="39" spans="1:6" ht="26.1" customHeight="1">
      <c r="A39" s="70" t="s">
        <v>3732</v>
      </c>
      <c r="B39" s="76" t="s">
        <v>603</v>
      </c>
      <c r="C39" s="70" t="s">
        <v>3733</v>
      </c>
      <c r="D39" s="71" t="s">
        <v>605</v>
      </c>
      <c r="E39" s="70" t="s">
        <v>2661</v>
      </c>
      <c r="F39" s="70" t="s">
        <v>607</v>
      </c>
    </row>
    <row r="40" spans="1:6" ht="26.1" customHeight="1">
      <c r="A40" s="70" t="s">
        <v>3734</v>
      </c>
      <c r="B40" s="76" t="s">
        <v>603</v>
      </c>
      <c r="C40" s="70" t="s">
        <v>3121</v>
      </c>
      <c r="D40" s="71" t="s">
        <v>605</v>
      </c>
      <c r="E40" s="70" t="s">
        <v>2661</v>
      </c>
      <c r="F40" s="70" t="s">
        <v>607</v>
      </c>
    </row>
    <row r="41" spans="1:6" ht="26.1" customHeight="1">
      <c r="A41" s="70" t="s">
        <v>3735</v>
      </c>
      <c r="B41" s="76" t="s">
        <v>603</v>
      </c>
      <c r="C41" s="70" t="s">
        <v>3736</v>
      </c>
      <c r="D41" s="71" t="s">
        <v>605</v>
      </c>
      <c r="E41" s="70" t="s">
        <v>610</v>
      </c>
      <c r="F41" s="70" t="s">
        <v>3737</v>
      </c>
    </row>
    <row r="42" spans="1:6" ht="26.1" customHeight="1">
      <c r="A42" s="70" t="s">
        <v>3738</v>
      </c>
      <c r="B42" s="76" t="s">
        <v>603</v>
      </c>
      <c r="C42" s="74" t="s">
        <v>3739</v>
      </c>
      <c r="D42" s="71" t="s">
        <v>605</v>
      </c>
      <c r="E42" s="70" t="s">
        <v>3740</v>
      </c>
      <c r="F42" s="70" t="s">
        <v>2416</v>
      </c>
    </row>
    <row r="43" spans="1:6" ht="26.1" customHeight="1">
      <c r="A43" s="70" t="s">
        <v>3741</v>
      </c>
      <c r="B43" s="75" t="s">
        <v>619</v>
      </c>
      <c r="C43" s="74" t="s">
        <v>1461</v>
      </c>
      <c r="D43" s="71" t="s">
        <v>605</v>
      </c>
      <c r="E43" s="70" t="s">
        <v>620</v>
      </c>
      <c r="F43" s="70" t="s">
        <v>607</v>
      </c>
    </row>
    <row r="44" spans="1:6" ht="26.1" customHeight="1">
      <c r="A44" s="70" t="s">
        <v>3742</v>
      </c>
      <c r="B44" s="76" t="s">
        <v>603</v>
      </c>
      <c r="C44" s="74" t="s">
        <v>3743</v>
      </c>
      <c r="D44" s="71" t="s">
        <v>605</v>
      </c>
      <c r="E44" s="70" t="s">
        <v>610</v>
      </c>
      <c r="F44" s="70" t="s">
        <v>691</v>
      </c>
    </row>
    <row r="45" spans="1:6" ht="26.1" customHeight="1">
      <c r="A45" s="70" t="s">
        <v>3744</v>
      </c>
      <c r="B45" s="76" t="s">
        <v>603</v>
      </c>
      <c r="C45" s="70" t="s">
        <v>3745</v>
      </c>
      <c r="D45" s="71" t="s">
        <v>605</v>
      </c>
      <c r="E45" s="70" t="s">
        <v>606</v>
      </c>
      <c r="F45" s="70" t="s">
        <v>691</v>
      </c>
    </row>
    <row r="46" spans="1:6" ht="26.1" customHeight="1">
      <c r="A46" s="70" t="s">
        <v>3746</v>
      </c>
      <c r="B46" s="75" t="s">
        <v>619</v>
      </c>
      <c r="C46" s="70" t="s">
        <v>3747</v>
      </c>
      <c r="D46" s="71" t="s">
        <v>605</v>
      </c>
      <c r="E46" s="70" t="s">
        <v>2547</v>
      </c>
      <c r="F46" s="70" t="s">
        <v>3748</v>
      </c>
    </row>
    <row r="47" spans="1:6" ht="26.1" customHeight="1">
      <c r="A47" s="70" t="s">
        <v>3749</v>
      </c>
      <c r="B47" s="76" t="s">
        <v>603</v>
      </c>
      <c r="C47" s="70" t="s">
        <v>3750</v>
      </c>
      <c r="D47" s="71" t="s">
        <v>605</v>
      </c>
      <c r="E47" s="70" t="s">
        <v>3109</v>
      </c>
      <c r="F47" s="70" t="s">
        <v>3751</v>
      </c>
    </row>
    <row r="48" spans="1:6" ht="26.1" customHeight="1">
      <c r="A48" s="70" t="s">
        <v>3752</v>
      </c>
      <c r="B48" s="76" t="s">
        <v>603</v>
      </c>
      <c r="C48" s="74" t="s">
        <v>3753</v>
      </c>
      <c r="D48" s="71" t="s">
        <v>605</v>
      </c>
      <c r="E48" s="70" t="s">
        <v>606</v>
      </c>
      <c r="F48" s="70" t="s">
        <v>1434</v>
      </c>
    </row>
    <row r="49" spans="1:6" ht="26.1" customHeight="1">
      <c r="A49" s="70" t="s">
        <v>3754</v>
      </c>
      <c r="B49" s="77" t="s">
        <v>615</v>
      </c>
      <c r="C49" s="70" t="s">
        <v>3123</v>
      </c>
      <c r="D49" s="71" t="s">
        <v>605</v>
      </c>
      <c r="E49" s="70" t="s">
        <v>617</v>
      </c>
      <c r="F49" s="70" t="s">
        <v>607</v>
      </c>
    </row>
    <row r="50" spans="1:6" ht="26.1" customHeight="1">
      <c r="A50" s="70" t="s">
        <v>3755</v>
      </c>
      <c r="B50" s="76" t="s">
        <v>603</v>
      </c>
      <c r="C50" s="70" t="s">
        <v>609</v>
      </c>
      <c r="D50" s="71" t="s">
        <v>605</v>
      </c>
      <c r="E50" s="70" t="s">
        <v>2661</v>
      </c>
      <c r="F50" s="70" t="s">
        <v>607</v>
      </c>
    </row>
    <row r="51" spans="1:6" ht="26.1" customHeight="1">
      <c r="A51" s="70" t="s">
        <v>3756</v>
      </c>
      <c r="B51" s="76" t="s">
        <v>603</v>
      </c>
      <c r="C51" s="70" t="s">
        <v>626</v>
      </c>
      <c r="D51" s="71" t="s">
        <v>605</v>
      </c>
      <c r="E51" s="70" t="s">
        <v>610</v>
      </c>
      <c r="F51" s="70" t="s">
        <v>607</v>
      </c>
    </row>
    <row r="52" spans="1:6" ht="26.1" customHeight="1">
      <c r="A52" s="70" t="s">
        <v>3757</v>
      </c>
      <c r="B52" s="76" t="s">
        <v>603</v>
      </c>
      <c r="C52" s="74" t="s">
        <v>682</v>
      </c>
      <c r="D52" s="71" t="s">
        <v>605</v>
      </c>
      <c r="E52" s="70" t="s">
        <v>683</v>
      </c>
      <c r="F52" s="70" t="s">
        <v>607</v>
      </c>
    </row>
    <row r="53" spans="1:6" ht="26.1" customHeight="1">
      <c r="A53" s="70" t="s">
        <v>3758</v>
      </c>
      <c r="B53" s="75" t="s">
        <v>619</v>
      </c>
      <c r="C53" s="70" t="s">
        <v>2239</v>
      </c>
      <c r="D53" s="71" t="s">
        <v>605</v>
      </c>
      <c r="E53" s="70" t="s">
        <v>876</v>
      </c>
      <c r="F53" s="70" t="s">
        <v>607</v>
      </c>
    </row>
    <row r="54" spans="1:6" ht="26.1" customHeight="1">
      <c r="A54" s="70" t="s">
        <v>3759</v>
      </c>
      <c r="B54" s="76" t="s">
        <v>603</v>
      </c>
      <c r="C54" s="70" t="s">
        <v>1666</v>
      </c>
      <c r="D54" s="71" t="s">
        <v>605</v>
      </c>
      <c r="E54" s="70" t="s">
        <v>2661</v>
      </c>
      <c r="F54" s="70" t="s">
        <v>607</v>
      </c>
    </row>
    <row r="55" spans="1:6" ht="26.1" customHeight="1">
      <c r="A55" s="70" t="s">
        <v>3760</v>
      </c>
      <c r="B55" s="76" t="s">
        <v>603</v>
      </c>
      <c r="C55" s="74" t="s">
        <v>3761</v>
      </c>
      <c r="D55" s="71" t="s">
        <v>605</v>
      </c>
      <c r="E55" s="70" t="s">
        <v>606</v>
      </c>
      <c r="F55" s="70" t="s">
        <v>3762</v>
      </c>
    </row>
    <row r="57" spans="1:6" ht="15">
      <c r="C57" s="78" t="s">
        <v>633</v>
      </c>
      <c r="D57" s="79" t="str">
        <f>COUNTIF(D2:D55,"☑")&amp;" / "&amp;COUNTA(A2:A55)</f>
        <v>0 / 54</v>
      </c>
    </row>
  </sheetData>
  <conditionalFormatting sqref="B2:B27">
    <cfRule type="expression" dxfId="19" priority="1">
      <formula>B2="A"</formula>
    </cfRule>
    <cfRule type="expression" dxfId="18" priority="2">
      <formula>B2="B"</formula>
    </cfRule>
    <cfRule type="expression" dxfId="17" priority="3">
      <formula>B2="C"</formula>
    </cfRule>
  </conditionalFormatting>
  <conditionalFormatting sqref="D2:D55">
    <cfRule type="expression" dxfId="16" priority="4">
      <formula>D2="☑"</formula>
    </cfRule>
  </conditionalFormatting>
  <dataValidations count="1">
    <dataValidation type="list" sqref="D2:D55" xr:uid="{00000000-0002-0000-2500-000000000000}">
      <formula1>"☐,☑"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49"/>
  <sheetViews>
    <sheetView workbookViewId="0"/>
  </sheetViews>
  <sheetFormatPr defaultRowHeight="14.25"/>
  <cols>
    <col min="1" max="1" width="34" customWidth="1"/>
    <col min="2" max="2" width="10" customWidth="1"/>
    <col min="3" max="3" width="50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81" t="s">
        <v>598</v>
      </c>
      <c r="B1" s="81" t="s">
        <v>599</v>
      </c>
      <c r="C1" s="81" t="s">
        <v>13</v>
      </c>
      <c r="D1" s="81" t="s">
        <v>3</v>
      </c>
      <c r="E1" s="81" t="s">
        <v>600</v>
      </c>
      <c r="F1" s="81" t="s">
        <v>601</v>
      </c>
    </row>
    <row r="2" spans="1:6" ht="27.95" customHeight="1">
      <c r="A2" s="82" t="s">
        <v>3763</v>
      </c>
      <c r="B2" s="84" t="s">
        <v>603</v>
      </c>
      <c r="C2" s="82" t="s">
        <v>3764</v>
      </c>
      <c r="D2" s="83" t="s">
        <v>605</v>
      </c>
      <c r="E2" s="82" t="s">
        <v>3146</v>
      </c>
      <c r="F2" s="82" t="s">
        <v>691</v>
      </c>
    </row>
    <row r="3" spans="1:6" ht="27.95" customHeight="1">
      <c r="A3" s="82" t="s">
        <v>3765</v>
      </c>
      <c r="B3" s="85" t="s">
        <v>619</v>
      </c>
      <c r="C3" s="82" t="s">
        <v>3766</v>
      </c>
      <c r="D3" s="83" t="s">
        <v>605</v>
      </c>
      <c r="E3" s="82" t="s">
        <v>620</v>
      </c>
      <c r="F3" s="82" t="s">
        <v>3767</v>
      </c>
    </row>
    <row r="4" spans="1:6" ht="27.95" customHeight="1">
      <c r="A4" s="82" t="s">
        <v>3768</v>
      </c>
      <c r="B4" s="84" t="s">
        <v>603</v>
      </c>
      <c r="C4" s="82" t="s">
        <v>632</v>
      </c>
      <c r="D4" s="83" t="s">
        <v>605</v>
      </c>
      <c r="E4" s="82" t="s">
        <v>2661</v>
      </c>
      <c r="F4" s="82" t="s">
        <v>607</v>
      </c>
    </row>
    <row r="5" spans="1:6" ht="27.95" customHeight="1">
      <c r="A5" s="82" t="s">
        <v>3769</v>
      </c>
      <c r="B5" s="84" t="s">
        <v>603</v>
      </c>
      <c r="C5" s="82" t="s">
        <v>3743</v>
      </c>
      <c r="D5" s="83" t="s">
        <v>605</v>
      </c>
      <c r="E5" s="82" t="s">
        <v>610</v>
      </c>
      <c r="F5" s="82" t="s">
        <v>691</v>
      </c>
    </row>
    <row r="6" spans="1:6" ht="27.95" customHeight="1">
      <c r="A6" s="82" t="s">
        <v>3770</v>
      </c>
      <c r="B6" s="84" t="s">
        <v>603</v>
      </c>
      <c r="C6" s="82" t="s">
        <v>3771</v>
      </c>
      <c r="D6" s="83" t="s">
        <v>605</v>
      </c>
      <c r="E6" s="82" t="s">
        <v>683</v>
      </c>
      <c r="F6" s="82" t="s">
        <v>691</v>
      </c>
    </row>
    <row r="7" spans="1:6" ht="27.95" customHeight="1">
      <c r="A7" s="82" t="s">
        <v>3772</v>
      </c>
      <c r="B7" s="85" t="s">
        <v>619</v>
      </c>
      <c r="C7" s="82" t="s">
        <v>3773</v>
      </c>
      <c r="D7" s="83" t="s">
        <v>605</v>
      </c>
      <c r="E7" s="82" t="s">
        <v>620</v>
      </c>
      <c r="F7" s="82" t="s">
        <v>691</v>
      </c>
    </row>
    <row r="8" spans="1:6" ht="27.95" customHeight="1">
      <c r="A8" s="82" t="s">
        <v>3774</v>
      </c>
      <c r="B8" s="86" t="s">
        <v>615</v>
      </c>
      <c r="C8" s="82" t="s">
        <v>3775</v>
      </c>
      <c r="D8" s="83" t="s">
        <v>605</v>
      </c>
      <c r="E8" s="82" t="s">
        <v>825</v>
      </c>
      <c r="F8" s="82" t="s">
        <v>3776</v>
      </c>
    </row>
    <row r="9" spans="1:6" ht="27.95" customHeight="1">
      <c r="A9" s="82" t="s">
        <v>133</v>
      </c>
      <c r="B9" s="84" t="s">
        <v>603</v>
      </c>
      <c r="C9" s="82" t="s">
        <v>632</v>
      </c>
      <c r="D9" s="83" t="s">
        <v>605</v>
      </c>
      <c r="E9" s="82" t="s">
        <v>610</v>
      </c>
      <c r="F9" s="82" t="s">
        <v>1434</v>
      </c>
    </row>
    <row r="10" spans="1:6" ht="27.95" customHeight="1">
      <c r="A10" s="82" t="s">
        <v>3777</v>
      </c>
      <c r="B10" s="84" t="s">
        <v>603</v>
      </c>
      <c r="C10" s="82" t="s">
        <v>3778</v>
      </c>
      <c r="D10" s="83" t="s">
        <v>605</v>
      </c>
      <c r="E10" s="82" t="s">
        <v>3779</v>
      </c>
      <c r="F10" s="82" t="s">
        <v>3780</v>
      </c>
    </row>
    <row r="11" spans="1:6" ht="27.95" customHeight="1">
      <c r="A11" s="82" t="s">
        <v>3781</v>
      </c>
      <c r="B11" s="84" t="s">
        <v>603</v>
      </c>
      <c r="C11" s="82" t="s">
        <v>1461</v>
      </c>
      <c r="D11" s="83" t="s">
        <v>605</v>
      </c>
      <c r="E11" s="82" t="s">
        <v>610</v>
      </c>
      <c r="F11" s="82" t="s">
        <v>607</v>
      </c>
    </row>
    <row r="12" spans="1:6" ht="27.95" customHeight="1">
      <c r="A12" s="82" t="s">
        <v>3782</v>
      </c>
      <c r="B12" s="84" t="s">
        <v>603</v>
      </c>
      <c r="C12" s="82" t="s">
        <v>3783</v>
      </c>
      <c r="D12" s="83" t="s">
        <v>605</v>
      </c>
      <c r="E12" s="82" t="s">
        <v>3672</v>
      </c>
      <c r="F12" s="82" t="s">
        <v>3784</v>
      </c>
    </row>
    <row r="13" spans="1:6" ht="27.95" customHeight="1">
      <c r="A13" s="82" t="s">
        <v>3785</v>
      </c>
      <c r="B13" s="84" t="s">
        <v>603</v>
      </c>
      <c r="C13" s="82" t="s">
        <v>632</v>
      </c>
      <c r="D13" s="83" t="s">
        <v>605</v>
      </c>
      <c r="E13" s="82" t="s">
        <v>610</v>
      </c>
      <c r="F13" s="82" t="s">
        <v>607</v>
      </c>
    </row>
    <row r="14" spans="1:6" ht="27.95" customHeight="1">
      <c r="A14" s="82" t="s">
        <v>3786</v>
      </c>
      <c r="B14" s="86" t="s">
        <v>615</v>
      </c>
      <c r="C14" s="82" t="s">
        <v>3787</v>
      </c>
      <c r="D14" s="83" t="s">
        <v>605</v>
      </c>
      <c r="E14" s="82" t="s">
        <v>617</v>
      </c>
      <c r="F14" s="82" t="s">
        <v>691</v>
      </c>
    </row>
    <row r="15" spans="1:6" ht="27.95" customHeight="1">
      <c r="A15" s="82" t="s">
        <v>3788</v>
      </c>
      <c r="B15" s="85" t="s">
        <v>619</v>
      </c>
      <c r="C15" s="82" t="s">
        <v>3789</v>
      </c>
      <c r="D15" s="83" t="s">
        <v>605</v>
      </c>
      <c r="E15" s="82" t="s">
        <v>3146</v>
      </c>
      <c r="F15" s="82" t="s">
        <v>3790</v>
      </c>
    </row>
    <row r="16" spans="1:6" ht="27.95" customHeight="1">
      <c r="A16" s="82" t="s">
        <v>3791</v>
      </c>
      <c r="B16" s="84" t="s">
        <v>603</v>
      </c>
      <c r="C16" s="82" t="s">
        <v>653</v>
      </c>
      <c r="D16" s="83" t="s">
        <v>605</v>
      </c>
      <c r="E16" s="82" t="s">
        <v>610</v>
      </c>
      <c r="F16" s="82" t="s">
        <v>607</v>
      </c>
    </row>
    <row r="17" spans="1:6" ht="27.95" customHeight="1">
      <c r="A17" s="82" t="s">
        <v>3792</v>
      </c>
      <c r="B17" s="84" t="s">
        <v>603</v>
      </c>
      <c r="C17" s="82" t="s">
        <v>3793</v>
      </c>
      <c r="D17" s="83" t="s">
        <v>605</v>
      </c>
      <c r="E17" s="82" t="s">
        <v>3794</v>
      </c>
      <c r="F17" s="82" t="s">
        <v>3795</v>
      </c>
    </row>
    <row r="18" spans="1:6" ht="27.95" customHeight="1">
      <c r="A18" s="82" t="s">
        <v>3796</v>
      </c>
      <c r="B18" s="86" t="s">
        <v>615</v>
      </c>
      <c r="C18" s="82" t="s">
        <v>3797</v>
      </c>
      <c r="D18" s="83" t="s">
        <v>605</v>
      </c>
      <c r="E18" s="82" t="s">
        <v>825</v>
      </c>
      <c r="F18" s="82" t="s">
        <v>3798</v>
      </c>
    </row>
    <row r="19" spans="1:6" ht="27.95" customHeight="1">
      <c r="A19" s="82" t="s">
        <v>3799</v>
      </c>
      <c r="B19" s="84" t="s">
        <v>603</v>
      </c>
      <c r="C19" s="82" t="s">
        <v>653</v>
      </c>
      <c r="D19" s="83" t="s">
        <v>605</v>
      </c>
      <c r="E19" s="82" t="s">
        <v>610</v>
      </c>
      <c r="F19" s="82" t="s">
        <v>607</v>
      </c>
    </row>
    <row r="20" spans="1:6" ht="27.95" customHeight="1">
      <c r="A20" s="82" t="s">
        <v>3800</v>
      </c>
      <c r="B20" s="84" t="s">
        <v>603</v>
      </c>
      <c r="C20" s="82" t="s">
        <v>609</v>
      </c>
      <c r="D20" s="83" t="s">
        <v>605</v>
      </c>
      <c r="E20" s="82" t="s">
        <v>2975</v>
      </c>
      <c r="F20" s="82" t="s">
        <v>607</v>
      </c>
    </row>
    <row r="21" spans="1:6" ht="27.95" customHeight="1">
      <c r="A21" s="82" t="s">
        <v>3801</v>
      </c>
      <c r="B21" s="85" t="s">
        <v>619</v>
      </c>
      <c r="C21" s="82" t="s">
        <v>3802</v>
      </c>
      <c r="D21" s="83" t="s">
        <v>605</v>
      </c>
      <c r="E21" s="82" t="s">
        <v>2661</v>
      </c>
      <c r="F21" s="82" t="s">
        <v>3803</v>
      </c>
    </row>
    <row r="22" spans="1:6" ht="27.95" customHeight="1">
      <c r="A22" s="82" t="s">
        <v>3711</v>
      </c>
      <c r="B22" s="84" t="s">
        <v>603</v>
      </c>
      <c r="C22" s="82" t="s">
        <v>3121</v>
      </c>
      <c r="D22" s="83" t="s">
        <v>605</v>
      </c>
      <c r="E22" s="82" t="s">
        <v>2661</v>
      </c>
      <c r="F22" s="82" t="s">
        <v>607</v>
      </c>
    </row>
    <row r="23" spans="1:6" ht="27.95" customHeight="1">
      <c r="A23" s="82" t="s">
        <v>3804</v>
      </c>
      <c r="B23" s="84" t="s">
        <v>603</v>
      </c>
      <c r="C23" s="82" t="s">
        <v>3805</v>
      </c>
      <c r="D23" s="83" t="s">
        <v>605</v>
      </c>
      <c r="E23" s="82" t="s">
        <v>3806</v>
      </c>
      <c r="F23" s="82" t="s">
        <v>1434</v>
      </c>
    </row>
    <row r="24" spans="1:6" ht="27.95" customHeight="1">
      <c r="A24" s="82" t="s">
        <v>3807</v>
      </c>
      <c r="B24" s="84" t="s">
        <v>603</v>
      </c>
      <c r="C24" s="82" t="s">
        <v>1461</v>
      </c>
      <c r="D24" s="83" t="s">
        <v>605</v>
      </c>
      <c r="E24" s="82" t="s">
        <v>2661</v>
      </c>
      <c r="F24" s="82" t="s">
        <v>607</v>
      </c>
    </row>
    <row r="25" spans="1:6" ht="27.95" customHeight="1">
      <c r="A25" s="82" t="s">
        <v>305</v>
      </c>
      <c r="B25" s="84" t="s">
        <v>603</v>
      </c>
      <c r="C25" s="82" t="s">
        <v>3808</v>
      </c>
      <c r="D25" s="83" t="s">
        <v>605</v>
      </c>
      <c r="E25" s="82" t="s">
        <v>610</v>
      </c>
      <c r="F25" s="82" t="s">
        <v>3809</v>
      </c>
    </row>
    <row r="26" spans="1:6" ht="27.95" customHeight="1">
      <c r="A26" s="82" t="s">
        <v>3810</v>
      </c>
      <c r="B26" s="84" t="s">
        <v>603</v>
      </c>
      <c r="C26" s="90" t="s">
        <v>3123</v>
      </c>
      <c r="D26" s="91" t="s">
        <v>605</v>
      </c>
      <c r="E26" s="82" t="s">
        <v>610</v>
      </c>
      <c r="F26" s="82" t="s">
        <v>607</v>
      </c>
    </row>
    <row r="27" spans="1:6" ht="27.95" customHeight="1">
      <c r="A27" s="82" t="s">
        <v>3811</v>
      </c>
      <c r="B27" s="84" t="s">
        <v>603</v>
      </c>
      <c r="C27" s="90" t="s">
        <v>1666</v>
      </c>
      <c r="D27" s="91" t="s">
        <v>605</v>
      </c>
      <c r="E27" s="82" t="s">
        <v>606</v>
      </c>
      <c r="F27" s="82" t="s">
        <v>607</v>
      </c>
    </row>
    <row r="28" spans="1:6" ht="27.95" customHeight="1">
      <c r="A28" s="82" t="s">
        <v>3812</v>
      </c>
      <c r="B28" s="84" t="s">
        <v>603</v>
      </c>
      <c r="C28" s="90" t="s">
        <v>2239</v>
      </c>
      <c r="D28" s="91" t="s">
        <v>605</v>
      </c>
      <c r="E28" s="82" t="s">
        <v>610</v>
      </c>
      <c r="F28" s="82" t="s">
        <v>607</v>
      </c>
    </row>
    <row r="29" spans="1:6" ht="27.95" customHeight="1">
      <c r="A29" s="82" t="s">
        <v>3813</v>
      </c>
      <c r="B29" s="84" t="s">
        <v>603</v>
      </c>
      <c r="C29" s="90" t="s">
        <v>951</v>
      </c>
      <c r="D29" s="91" t="s">
        <v>605</v>
      </c>
      <c r="E29" s="82" t="s">
        <v>610</v>
      </c>
      <c r="F29" s="82" t="s">
        <v>607</v>
      </c>
    </row>
    <row r="30" spans="1:6" ht="27.95" customHeight="1">
      <c r="A30" s="82" t="s">
        <v>3814</v>
      </c>
      <c r="B30" s="84" t="s">
        <v>603</v>
      </c>
      <c r="C30" s="90" t="s">
        <v>3815</v>
      </c>
      <c r="D30" s="91" t="s">
        <v>605</v>
      </c>
      <c r="E30" s="82" t="s">
        <v>742</v>
      </c>
      <c r="F30" s="82" t="s">
        <v>3816</v>
      </c>
    </row>
    <row r="31" spans="1:6" ht="27.95" customHeight="1">
      <c r="A31" s="82" t="s">
        <v>3817</v>
      </c>
      <c r="B31" s="84" t="s">
        <v>603</v>
      </c>
      <c r="C31" s="92" t="s">
        <v>3818</v>
      </c>
      <c r="D31" s="91" t="s">
        <v>605</v>
      </c>
      <c r="E31" s="82" t="s">
        <v>3819</v>
      </c>
      <c r="F31" s="82" t="s">
        <v>3820</v>
      </c>
    </row>
    <row r="32" spans="1:6" ht="27.95" customHeight="1">
      <c r="A32" s="82" t="s">
        <v>3821</v>
      </c>
      <c r="B32" s="84" t="s">
        <v>603</v>
      </c>
      <c r="C32" s="82" t="s">
        <v>1544</v>
      </c>
      <c r="D32" s="83" t="s">
        <v>605</v>
      </c>
      <c r="E32" s="82" t="s">
        <v>610</v>
      </c>
      <c r="F32" s="82" t="s">
        <v>607</v>
      </c>
    </row>
    <row r="33" spans="1:6" ht="27.95" customHeight="1">
      <c r="A33" s="82" t="s">
        <v>3822</v>
      </c>
      <c r="B33" s="85" t="s">
        <v>619</v>
      </c>
      <c r="C33" s="82" t="s">
        <v>3823</v>
      </c>
      <c r="D33" s="83" t="s">
        <v>605</v>
      </c>
      <c r="E33" s="82" t="s">
        <v>3146</v>
      </c>
      <c r="F33" s="82" t="s">
        <v>691</v>
      </c>
    </row>
    <row r="34" spans="1:6" ht="27.95" customHeight="1">
      <c r="A34" s="82" t="s">
        <v>3824</v>
      </c>
      <c r="B34" s="84" t="s">
        <v>603</v>
      </c>
      <c r="C34" s="82" t="s">
        <v>3825</v>
      </c>
      <c r="D34" s="83" t="s">
        <v>605</v>
      </c>
      <c r="E34" s="82" t="s">
        <v>610</v>
      </c>
      <c r="F34" s="82" t="s">
        <v>691</v>
      </c>
    </row>
    <row r="35" spans="1:6" ht="27.95" customHeight="1">
      <c r="A35" s="82" t="s">
        <v>3826</v>
      </c>
      <c r="B35" s="84" t="s">
        <v>603</v>
      </c>
      <c r="C35" s="82" t="s">
        <v>3827</v>
      </c>
      <c r="D35" s="83" t="s">
        <v>605</v>
      </c>
      <c r="E35" s="82" t="s">
        <v>683</v>
      </c>
      <c r="F35" s="82" t="s">
        <v>691</v>
      </c>
    </row>
    <row r="36" spans="1:6" ht="27.95" customHeight="1">
      <c r="A36" s="82" t="s">
        <v>3828</v>
      </c>
      <c r="B36" s="84" t="s">
        <v>603</v>
      </c>
      <c r="C36" s="82" t="s">
        <v>3829</v>
      </c>
      <c r="D36" s="83" t="s">
        <v>605</v>
      </c>
      <c r="E36" s="82" t="s">
        <v>911</v>
      </c>
      <c r="F36" s="82" t="s">
        <v>3830</v>
      </c>
    </row>
    <row r="37" spans="1:6" ht="27.95" customHeight="1">
      <c r="A37" s="82" t="s">
        <v>3831</v>
      </c>
      <c r="B37" s="86" t="s">
        <v>615</v>
      </c>
      <c r="C37" s="93" t="s">
        <v>629</v>
      </c>
      <c r="D37" s="83" t="s">
        <v>605</v>
      </c>
      <c r="E37" s="82" t="s">
        <v>3832</v>
      </c>
      <c r="F37" s="82" t="s">
        <v>607</v>
      </c>
    </row>
    <row r="38" spans="1:6" ht="27.95" customHeight="1">
      <c r="A38" s="82" t="s">
        <v>3833</v>
      </c>
      <c r="B38" s="84" t="s">
        <v>603</v>
      </c>
      <c r="C38" s="93" t="s">
        <v>3834</v>
      </c>
      <c r="D38" s="83" t="s">
        <v>605</v>
      </c>
      <c r="E38" s="82" t="s">
        <v>3835</v>
      </c>
      <c r="F38" s="82" t="s">
        <v>2416</v>
      </c>
    </row>
    <row r="39" spans="1:6" ht="27.95" customHeight="1">
      <c r="A39" s="82" t="s">
        <v>183</v>
      </c>
      <c r="B39" s="84" t="s">
        <v>603</v>
      </c>
      <c r="C39" s="93" t="s">
        <v>3836</v>
      </c>
      <c r="D39" s="83" t="s">
        <v>605</v>
      </c>
      <c r="E39" s="82" t="s">
        <v>610</v>
      </c>
      <c r="F39" s="82" t="s">
        <v>3837</v>
      </c>
    </row>
    <row r="40" spans="1:6" ht="27.95" customHeight="1">
      <c r="A40" s="82" t="s">
        <v>3838</v>
      </c>
      <c r="B40" s="84" t="s">
        <v>603</v>
      </c>
      <c r="C40" s="82" t="s">
        <v>3839</v>
      </c>
      <c r="D40" s="83" t="s">
        <v>605</v>
      </c>
      <c r="E40" s="82" t="s">
        <v>2975</v>
      </c>
      <c r="F40" s="82" t="s">
        <v>607</v>
      </c>
    </row>
    <row r="41" spans="1:6" ht="27.95" customHeight="1">
      <c r="A41" s="82" t="s">
        <v>3521</v>
      </c>
      <c r="B41" s="84" t="s">
        <v>603</v>
      </c>
      <c r="C41" s="93" t="s">
        <v>3522</v>
      </c>
      <c r="D41" s="83" t="s">
        <v>605</v>
      </c>
      <c r="E41" s="82" t="s">
        <v>610</v>
      </c>
      <c r="F41" s="82" t="s">
        <v>1434</v>
      </c>
    </row>
    <row r="42" spans="1:6" ht="27.95" customHeight="1">
      <c r="A42" s="82" t="s">
        <v>3840</v>
      </c>
      <c r="B42" s="84" t="s">
        <v>603</v>
      </c>
      <c r="C42" s="93" t="s">
        <v>609</v>
      </c>
      <c r="D42" s="83" t="s">
        <v>605</v>
      </c>
      <c r="E42" s="82" t="s">
        <v>2661</v>
      </c>
      <c r="F42" s="82" t="s">
        <v>607</v>
      </c>
    </row>
    <row r="43" spans="1:6" ht="27.95" customHeight="1">
      <c r="A43" s="82" t="s">
        <v>3841</v>
      </c>
      <c r="B43" s="84" t="s">
        <v>603</v>
      </c>
      <c r="C43" s="93" t="s">
        <v>650</v>
      </c>
      <c r="D43" s="83" t="s">
        <v>605</v>
      </c>
      <c r="E43" s="82" t="s">
        <v>688</v>
      </c>
      <c r="F43" s="82" t="s">
        <v>607</v>
      </c>
    </row>
    <row r="44" spans="1:6" ht="27.95" customHeight="1">
      <c r="A44" s="82" t="s">
        <v>3842</v>
      </c>
      <c r="B44" s="84" t="s">
        <v>603</v>
      </c>
      <c r="C44" s="82" t="s">
        <v>3121</v>
      </c>
      <c r="D44" s="83" t="s">
        <v>605</v>
      </c>
      <c r="E44" s="82" t="s">
        <v>2661</v>
      </c>
      <c r="F44" s="82" t="s">
        <v>607</v>
      </c>
    </row>
    <row r="45" spans="1:6" ht="27.95" customHeight="1">
      <c r="A45" s="82" t="s">
        <v>180</v>
      </c>
      <c r="B45" s="84" t="s">
        <v>603</v>
      </c>
      <c r="C45" s="82" t="s">
        <v>3843</v>
      </c>
      <c r="D45" s="83" t="s">
        <v>605</v>
      </c>
      <c r="E45" s="82" t="s">
        <v>3844</v>
      </c>
      <c r="F45" s="82" t="s">
        <v>3845</v>
      </c>
    </row>
    <row r="46" spans="1:6" ht="27.95" customHeight="1">
      <c r="A46" s="82" t="s">
        <v>3846</v>
      </c>
      <c r="B46" s="84" t="s">
        <v>603</v>
      </c>
      <c r="C46" s="93" t="s">
        <v>609</v>
      </c>
      <c r="D46" s="83" t="s">
        <v>605</v>
      </c>
      <c r="E46" s="82" t="s">
        <v>610</v>
      </c>
      <c r="F46" s="82" t="s">
        <v>607</v>
      </c>
    </row>
    <row r="47" spans="1:6" ht="27.95" customHeight="1">
      <c r="A47" s="82" t="s">
        <v>3847</v>
      </c>
      <c r="B47" s="85" t="s">
        <v>619</v>
      </c>
      <c r="C47" s="93" t="s">
        <v>3848</v>
      </c>
      <c r="D47" s="83" t="s">
        <v>605</v>
      </c>
      <c r="E47" s="82" t="s">
        <v>3146</v>
      </c>
      <c r="F47" s="82" t="s">
        <v>3849</v>
      </c>
    </row>
    <row r="49" spans="3:4" ht="15">
      <c r="C49" s="88" t="s">
        <v>633</v>
      </c>
      <c r="D49" s="89" t="str">
        <f>COUNTIF(D2:D47,"☑")&amp;" / "&amp;COUNTA(A2:A47)</f>
        <v>0 / 46</v>
      </c>
    </row>
  </sheetData>
  <conditionalFormatting sqref="B2:B24">
    <cfRule type="expression" dxfId="15" priority="1">
      <formula>B2="A"</formula>
    </cfRule>
    <cfRule type="expression" dxfId="14" priority="2">
      <formula>B2="B"</formula>
    </cfRule>
    <cfRule type="expression" dxfId="13" priority="3">
      <formula>B2="C"</formula>
    </cfRule>
  </conditionalFormatting>
  <conditionalFormatting sqref="D2:D45">
    <cfRule type="expression" dxfId="12" priority="4">
      <formula>D2="☑"</formula>
    </cfRule>
  </conditionalFormatting>
  <conditionalFormatting sqref="D2:D47">
    <cfRule type="expression" dxfId="11" priority="19">
      <formula>D2="☑"</formula>
    </cfRule>
  </conditionalFormatting>
  <dataValidations count="1">
    <dataValidation type="list" sqref="D2:D47" xr:uid="{00000000-0002-0000-2600-000000000000}">
      <formula1>"☐,☑"</formula1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38"/>
  <sheetViews>
    <sheetView workbookViewId="0">
      <selection activeCell="A23" sqref="A23"/>
    </sheetView>
  </sheetViews>
  <sheetFormatPr defaultRowHeight="14.25"/>
  <cols>
    <col min="1" max="1" width="34" customWidth="1"/>
    <col min="2" max="2" width="10" customWidth="1"/>
    <col min="3" max="3" width="44" customWidth="1"/>
    <col min="4" max="4" width="12" customWidth="1"/>
    <col min="5" max="5" width="42" customWidth="1"/>
    <col min="6" max="6" width="58" customWidth="1"/>
  </cols>
  <sheetData>
    <row r="1" spans="1:6" ht="21.95" customHeight="1">
      <c r="A1" s="43" t="s">
        <v>598</v>
      </c>
      <c r="B1" s="43" t="s">
        <v>599</v>
      </c>
      <c r="C1" s="43" t="s">
        <v>13</v>
      </c>
      <c r="D1" s="43" t="s">
        <v>3</v>
      </c>
      <c r="E1" s="43" t="s">
        <v>600</v>
      </c>
      <c r="F1" s="43" t="s">
        <v>601</v>
      </c>
    </row>
    <row r="2" spans="1:6" ht="26.1" customHeight="1">
      <c r="A2" s="44" t="s">
        <v>3850</v>
      </c>
      <c r="B2" s="46" t="s">
        <v>619</v>
      </c>
      <c r="C2" s="44" t="s">
        <v>3851</v>
      </c>
      <c r="D2" s="45" t="s">
        <v>605</v>
      </c>
      <c r="E2" s="44" t="s">
        <v>3593</v>
      </c>
      <c r="F2" s="44" t="s">
        <v>691</v>
      </c>
    </row>
    <row r="3" spans="1:6" ht="26.1" customHeight="1">
      <c r="A3" s="44" t="s">
        <v>3852</v>
      </c>
      <c r="B3" s="47" t="s">
        <v>603</v>
      </c>
      <c r="C3" s="44" t="s">
        <v>3853</v>
      </c>
      <c r="D3" s="45" t="s">
        <v>605</v>
      </c>
      <c r="E3" s="44" t="s">
        <v>610</v>
      </c>
      <c r="F3" s="44" t="s">
        <v>691</v>
      </c>
    </row>
    <row r="4" spans="1:6" ht="26.1" customHeight="1">
      <c r="A4" s="44" t="s">
        <v>3854</v>
      </c>
      <c r="B4" s="46" t="s">
        <v>619</v>
      </c>
      <c r="C4" s="44" t="s">
        <v>1461</v>
      </c>
      <c r="D4" s="45" t="s">
        <v>605</v>
      </c>
      <c r="E4" s="44" t="s">
        <v>620</v>
      </c>
      <c r="F4" s="44" t="s">
        <v>607</v>
      </c>
    </row>
    <row r="5" spans="1:6" ht="26.1" customHeight="1">
      <c r="A5" s="44" t="s">
        <v>3855</v>
      </c>
      <c r="B5" s="46" t="s">
        <v>619</v>
      </c>
      <c r="C5" s="44" t="s">
        <v>626</v>
      </c>
      <c r="D5" s="45" t="s">
        <v>605</v>
      </c>
      <c r="E5" s="44" t="s">
        <v>683</v>
      </c>
      <c r="F5" s="44" t="s">
        <v>607</v>
      </c>
    </row>
    <row r="6" spans="1:6" ht="26.1" customHeight="1">
      <c r="A6" s="44" t="s">
        <v>3856</v>
      </c>
      <c r="B6" s="47" t="s">
        <v>603</v>
      </c>
      <c r="C6" s="44" t="s">
        <v>650</v>
      </c>
      <c r="D6" s="45" t="s">
        <v>605</v>
      </c>
      <c r="E6" s="44" t="s">
        <v>688</v>
      </c>
      <c r="F6" s="44" t="s">
        <v>607</v>
      </c>
    </row>
    <row r="7" spans="1:6" ht="26.1" customHeight="1">
      <c r="A7" s="44" t="s">
        <v>3857</v>
      </c>
      <c r="B7" s="47" t="s">
        <v>603</v>
      </c>
      <c r="C7" s="44" t="s">
        <v>609</v>
      </c>
      <c r="D7" s="45" t="s">
        <v>605</v>
      </c>
      <c r="E7" s="44" t="s">
        <v>2661</v>
      </c>
      <c r="F7" s="44" t="s">
        <v>607</v>
      </c>
    </row>
    <row r="8" spans="1:6" ht="26.1" customHeight="1">
      <c r="A8" s="44" t="s">
        <v>3858</v>
      </c>
      <c r="B8" s="47" t="s">
        <v>603</v>
      </c>
      <c r="C8" s="44" t="s">
        <v>650</v>
      </c>
      <c r="D8" s="45" t="s">
        <v>605</v>
      </c>
      <c r="E8" s="44" t="s">
        <v>3102</v>
      </c>
      <c r="F8" s="44" t="s">
        <v>607</v>
      </c>
    </row>
    <row r="9" spans="1:6" ht="26.1" customHeight="1">
      <c r="A9" s="44" t="s">
        <v>136</v>
      </c>
      <c r="B9" s="47" t="s">
        <v>603</v>
      </c>
      <c r="C9" s="44" t="s">
        <v>3859</v>
      </c>
      <c r="D9" s="45" t="s">
        <v>605</v>
      </c>
      <c r="E9" s="44" t="s">
        <v>610</v>
      </c>
      <c r="F9" s="44" t="s">
        <v>3860</v>
      </c>
    </row>
    <row r="10" spans="1:6" ht="26.1" customHeight="1">
      <c r="A10" s="44" t="s">
        <v>3861</v>
      </c>
      <c r="B10" s="47" t="s">
        <v>603</v>
      </c>
      <c r="C10" s="44" t="s">
        <v>650</v>
      </c>
      <c r="D10" s="45" t="s">
        <v>605</v>
      </c>
      <c r="E10" s="44" t="s">
        <v>688</v>
      </c>
      <c r="F10" s="44" t="s">
        <v>607</v>
      </c>
    </row>
    <row r="11" spans="1:6" ht="26.1" customHeight="1">
      <c r="A11" s="44" t="s">
        <v>3862</v>
      </c>
      <c r="B11" s="47" t="s">
        <v>603</v>
      </c>
      <c r="C11" s="44" t="s">
        <v>3863</v>
      </c>
      <c r="D11" s="45" t="s">
        <v>605</v>
      </c>
      <c r="E11" s="44" t="s">
        <v>610</v>
      </c>
      <c r="F11" s="44" t="s">
        <v>691</v>
      </c>
    </row>
    <row r="12" spans="1:6" ht="26.1" customHeight="1">
      <c r="A12" s="44" t="s">
        <v>3864</v>
      </c>
      <c r="B12" s="47" t="s">
        <v>603</v>
      </c>
      <c r="C12" s="44" t="s">
        <v>999</v>
      </c>
      <c r="D12" s="45" t="s">
        <v>605</v>
      </c>
      <c r="E12" s="44" t="s">
        <v>606</v>
      </c>
      <c r="F12" s="44" t="s">
        <v>607</v>
      </c>
    </row>
    <row r="13" spans="1:6" ht="26.1" customHeight="1">
      <c r="A13" s="44" t="s">
        <v>3865</v>
      </c>
      <c r="B13" s="47" t="s">
        <v>603</v>
      </c>
      <c r="C13" s="44" t="s">
        <v>3176</v>
      </c>
      <c r="D13" s="45" t="s">
        <v>605</v>
      </c>
      <c r="E13" s="44" t="s">
        <v>2661</v>
      </c>
      <c r="F13" s="44" t="s">
        <v>607</v>
      </c>
    </row>
    <row r="14" spans="1:6" ht="26.1" customHeight="1">
      <c r="A14" s="44" t="s">
        <v>3866</v>
      </c>
      <c r="B14" s="46" t="s">
        <v>619</v>
      </c>
      <c r="C14" s="44" t="s">
        <v>3867</v>
      </c>
      <c r="D14" s="45" t="s">
        <v>605</v>
      </c>
      <c r="E14" s="44" t="s">
        <v>620</v>
      </c>
      <c r="F14" s="44" t="s">
        <v>691</v>
      </c>
    </row>
    <row r="15" spans="1:6" ht="26.1" customHeight="1">
      <c r="A15" s="44" t="s">
        <v>304</v>
      </c>
      <c r="B15" s="47" t="s">
        <v>603</v>
      </c>
      <c r="C15" s="44" t="s">
        <v>3868</v>
      </c>
      <c r="D15" s="45" t="s">
        <v>605</v>
      </c>
      <c r="E15" s="44" t="s">
        <v>610</v>
      </c>
      <c r="F15" s="44" t="s">
        <v>3869</v>
      </c>
    </row>
    <row r="16" spans="1:6" ht="26.1" customHeight="1">
      <c r="A16" s="44" t="s">
        <v>3870</v>
      </c>
      <c r="B16" s="46" t="s">
        <v>619</v>
      </c>
      <c r="C16" s="44" t="s">
        <v>609</v>
      </c>
      <c r="D16" s="45" t="s">
        <v>605</v>
      </c>
      <c r="E16" s="44" t="s">
        <v>620</v>
      </c>
      <c r="F16" s="44" t="s">
        <v>607</v>
      </c>
    </row>
    <row r="17" spans="1:6" ht="26.1" customHeight="1">
      <c r="A17" s="44" t="s">
        <v>3871</v>
      </c>
      <c r="B17" s="47" t="s">
        <v>603</v>
      </c>
      <c r="C17" s="44" t="s">
        <v>3872</v>
      </c>
      <c r="D17" s="45" t="s">
        <v>605</v>
      </c>
      <c r="E17" s="44" t="s">
        <v>610</v>
      </c>
      <c r="F17" s="44" t="s">
        <v>3873</v>
      </c>
    </row>
    <row r="18" spans="1:6" ht="26.1" customHeight="1">
      <c r="A18" s="44" t="s">
        <v>3874</v>
      </c>
      <c r="B18" s="46" t="s">
        <v>619</v>
      </c>
      <c r="C18" s="44" t="s">
        <v>3875</v>
      </c>
      <c r="D18" s="45" t="s">
        <v>605</v>
      </c>
      <c r="E18" s="44" t="s">
        <v>620</v>
      </c>
      <c r="F18" s="44" t="s">
        <v>2427</v>
      </c>
    </row>
    <row r="19" spans="1:6" ht="26.1" customHeight="1">
      <c r="A19" s="44" t="s">
        <v>3876</v>
      </c>
      <c r="B19" s="46" t="s">
        <v>619</v>
      </c>
      <c r="C19" s="44" t="s">
        <v>3218</v>
      </c>
      <c r="D19" s="45" t="s">
        <v>605</v>
      </c>
      <c r="E19" s="44" t="s">
        <v>3146</v>
      </c>
      <c r="F19" s="44" t="s">
        <v>691</v>
      </c>
    </row>
    <row r="20" spans="1:6" ht="26.1" customHeight="1">
      <c r="A20" s="44" t="s">
        <v>3877</v>
      </c>
      <c r="B20" s="47" t="s">
        <v>603</v>
      </c>
      <c r="C20" s="44" t="s">
        <v>3121</v>
      </c>
      <c r="D20" s="45" t="s">
        <v>605</v>
      </c>
      <c r="E20" s="44" t="s">
        <v>2661</v>
      </c>
      <c r="F20" s="44" t="s">
        <v>607</v>
      </c>
    </row>
    <row r="21" spans="1:6" ht="26.1" customHeight="1">
      <c r="A21" s="44" t="s">
        <v>85</v>
      </c>
      <c r="B21" s="47" t="s">
        <v>603</v>
      </c>
      <c r="C21" s="44" t="s">
        <v>3878</v>
      </c>
      <c r="D21" s="45" t="s">
        <v>605</v>
      </c>
      <c r="E21" s="44" t="s">
        <v>606</v>
      </c>
      <c r="F21" s="44" t="s">
        <v>3879</v>
      </c>
    </row>
    <row r="22" spans="1:6" ht="26.1" customHeight="1">
      <c r="A22" s="44" t="s">
        <v>3880</v>
      </c>
      <c r="B22" s="47" t="s">
        <v>603</v>
      </c>
      <c r="C22" s="44" t="s">
        <v>3881</v>
      </c>
      <c r="D22" s="45" t="s">
        <v>605</v>
      </c>
      <c r="E22" s="44" t="s">
        <v>610</v>
      </c>
      <c r="F22" s="44" t="s">
        <v>3882</v>
      </c>
    </row>
    <row r="23" spans="1:6" ht="26.1" customHeight="1">
      <c r="A23" s="44" t="s">
        <v>222</v>
      </c>
      <c r="B23" s="47" t="s">
        <v>603</v>
      </c>
      <c r="C23" s="44" t="s">
        <v>3883</v>
      </c>
      <c r="D23" s="45" t="s">
        <v>605</v>
      </c>
      <c r="E23" s="44" t="s">
        <v>610</v>
      </c>
      <c r="F23" s="44" t="s">
        <v>3884</v>
      </c>
    </row>
    <row r="24" spans="1:6" ht="26.1" customHeight="1">
      <c r="A24" s="44" t="s">
        <v>3885</v>
      </c>
      <c r="B24" s="46" t="s">
        <v>619</v>
      </c>
      <c r="C24" s="44" t="s">
        <v>3886</v>
      </c>
      <c r="D24" s="45" t="s">
        <v>605</v>
      </c>
      <c r="E24" s="44" t="s">
        <v>620</v>
      </c>
      <c r="F24" s="44" t="s">
        <v>870</v>
      </c>
    </row>
    <row r="25" spans="1:6" ht="26.1" customHeight="1">
      <c r="A25" s="44" t="s">
        <v>3887</v>
      </c>
      <c r="B25" s="46" t="s">
        <v>619</v>
      </c>
      <c r="C25" s="51" t="s">
        <v>3888</v>
      </c>
      <c r="D25" s="52" t="s">
        <v>605</v>
      </c>
      <c r="E25" s="44" t="s">
        <v>620</v>
      </c>
      <c r="F25" s="44" t="s">
        <v>691</v>
      </c>
    </row>
    <row r="26" spans="1:6" ht="26.1" customHeight="1">
      <c r="A26" s="44" t="s">
        <v>3889</v>
      </c>
      <c r="B26" s="47" t="s">
        <v>603</v>
      </c>
      <c r="C26" s="51" t="s">
        <v>1239</v>
      </c>
      <c r="D26" s="52" t="s">
        <v>605</v>
      </c>
      <c r="E26" s="44" t="s">
        <v>2661</v>
      </c>
      <c r="F26" s="44" t="s">
        <v>607</v>
      </c>
    </row>
    <row r="27" spans="1:6" ht="26.1" customHeight="1">
      <c r="A27" s="44" t="s">
        <v>3890</v>
      </c>
      <c r="B27" s="47" t="s">
        <v>603</v>
      </c>
      <c r="C27" s="51" t="s">
        <v>650</v>
      </c>
      <c r="D27" s="52" t="s">
        <v>605</v>
      </c>
      <c r="E27" s="44" t="s">
        <v>688</v>
      </c>
      <c r="F27" s="44" t="s">
        <v>607</v>
      </c>
    </row>
    <row r="28" spans="1:6" ht="26.1" customHeight="1">
      <c r="A28" s="44" t="s">
        <v>3891</v>
      </c>
      <c r="B28" s="48" t="s">
        <v>615</v>
      </c>
      <c r="C28" s="51" t="s">
        <v>2239</v>
      </c>
      <c r="D28" s="52" t="s">
        <v>605</v>
      </c>
      <c r="E28" s="44" t="s">
        <v>630</v>
      </c>
      <c r="F28" s="44" t="s">
        <v>607</v>
      </c>
    </row>
    <row r="29" spans="1:6" ht="26.1" customHeight="1">
      <c r="A29" s="44" t="s">
        <v>3892</v>
      </c>
      <c r="B29" s="47" t="s">
        <v>603</v>
      </c>
      <c r="C29" s="51" t="s">
        <v>3121</v>
      </c>
      <c r="D29" s="52" t="s">
        <v>605</v>
      </c>
      <c r="E29" s="44" t="s">
        <v>2661</v>
      </c>
      <c r="F29" s="44" t="s">
        <v>607</v>
      </c>
    </row>
    <row r="30" spans="1:6" ht="26.1" customHeight="1">
      <c r="A30" s="44" t="s">
        <v>3893</v>
      </c>
      <c r="B30" s="47" t="s">
        <v>603</v>
      </c>
      <c r="C30" s="51" t="s">
        <v>3894</v>
      </c>
      <c r="D30" s="52" t="s">
        <v>605</v>
      </c>
      <c r="E30" s="44" t="s">
        <v>1208</v>
      </c>
      <c r="F30" s="44" t="s">
        <v>3895</v>
      </c>
    </row>
    <row r="31" spans="1:6" ht="26.1" customHeight="1">
      <c r="A31" s="44" t="s">
        <v>3896</v>
      </c>
      <c r="B31" s="47" t="s">
        <v>603</v>
      </c>
      <c r="C31" s="44" t="s">
        <v>3121</v>
      </c>
      <c r="D31" s="45" t="s">
        <v>605</v>
      </c>
      <c r="E31" s="44" t="s">
        <v>3897</v>
      </c>
      <c r="F31" s="44" t="s">
        <v>607</v>
      </c>
    </row>
    <row r="32" spans="1:6" ht="26.1" customHeight="1">
      <c r="A32" s="44" t="s">
        <v>3898</v>
      </c>
      <c r="B32" s="47" t="s">
        <v>603</v>
      </c>
      <c r="C32" s="55" t="s">
        <v>609</v>
      </c>
      <c r="D32" s="45" t="s">
        <v>605</v>
      </c>
      <c r="E32" s="44" t="s">
        <v>2975</v>
      </c>
      <c r="F32" s="44" t="s">
        <v>607</v>
      </c>
    </row>
    <row r="33" spans="1:6" ht="26.1" customHeight="1">
      <c r="A33" s="44" t="s">
        <v>3899</v>
      </c>
      <c r="B33" s="47" t="s">
        <v>603</v>
      </c>
      <c r="C33" s="44" t="s">
        <v>650</v>
      </c>
      <c r="D33" s="45" t="s">
        <v>605</v>
      </c>
      <c r="E33" s="44" t="s">
        <v>688</v>
      </c>
      <c r="F33" s="44" t="s">
        <v>607</v>
      </c>
    </row>
    <row r="34" spans="1:6" ht="26.1" customHeight="1">
      <c r="A34" s="44" t="s">
        <v>3900</v>
      </c>
      <c r="B34" s="46" t="s">
        <v>619</v>
      </c>
      <c r="C34" s="55" t="s">
        <v>1026</v>
      </c>
      <c r="D34" s="45" t="s">
        <v>605</v>
      </c>
      <c r="E34" s="44" t="s">
        <v>2661</v>
      </c>
      <c r="F34" s="44" t="s">
        <v>607</v>
      </c>
    </row>
    <row r="35" spans="1:6" ht="26.1" customHeight="1">
      <c r="A35" s="44" t="s">
        <v>3901</v>
      </c>
      <c r="B35" s="46" t="s">
        <v>619</v>
      </c>
      <c r="C35" s="55" t="s">
        <v>3875</v>
      </c>
      <c r="D35" s="45" t="s">
        <v>605</v>
      </c>
      <c r="E35" s="44" t="s">
        <v>620</v>
      </c>
      <c r="F35" s="44" t="s">
        <v>2427</v>
      </c>
    </row>
    <row r="36" spans="1:6" ht="26.1" customHeight="1">
      <c r="A36" s="44" t="s">
        <v>3902</v>
      </c>
      <c r="B36" s="47" t="s">
        <v>603</v>
      </c>
      <c r="C36" s="55" t="s">
        <v>3903</v>
      </c>
      <c r="D36" s="45" t="s">
        <v>605</v>
      </c>
      <c r="E36" s="44" t="s">
        <v>610</v>
      </c>
      <c r="F36" s="44" t="s">
        <v>607</v>
      </c>
    </row>
    <row r="37" spans="1:6" ht="15">
      <c r="C37" s="33"/>
      <c r="D37" s="34"/>
    </row>
    <row r="38" spans="1:6" ht="15">
      <c r="C38" s="53" t="s">
        <v>633</v>
      </c>
      <c r="D38" s="54" t="str">
        <f>COUNTIF(D2:D36,"☑")&amp;" / "&amp;COUNTA(A2:A36)</f>
        <v>0 / 35</v>
      </c>
    </row>
  </sheetData>
  <conditionalFormatting sqref="B2:B23">
    <cfRule type="expression" dxfId="10" priority="1">
      <formula>B2="A"</formula>
    </cfRule>
    <cfRule type="expression" dxfId="9" priority="2">
      <formula>B2="B"</formula>
    </cfRule>
    <cfRule type="expression" dxfId="8" priority="3">
      <formula>B2="C"</formula>
    </cfRule>
  </conditionalFormatting>
  <conditionalFormatting sqref="D2:D36">
    <cfRule type="expression" dxfId="7" priority="4">
      <formula>D2="☑"</formula>
    </cfRule>
  </conditionalFormatting>
  <dataValidations count="1">
    <dataValidation type="list" sqref="D2:D36" xr:uid="{00000000-0002-0000-2700-000000000000}">
      <formula1>"☐,☑"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34"/>
  <sheetViews>
    <sheetView workbookViewId="0"/>
  </sheetViews>
  <sheetFormatPr defaultRowHeight="14.25"/>
  <cols>
    <col min="1" max="1" width="34" customWidth="1"/>
    <col min="2" max="2" width="10" customWidth="1"/>
    <col min="3" max="3" width="50" customWidth="1"/>
    <col min="4" max="4" width="12" customWidth="1"/>
    <col min="5" max="5" width="46" customWidth="1"/>
    <col min="6" max="6" width="58" customWidth="1"/>
  </cols>
  <sheetData>
    <row r="1" spans="1:6" ht="21.95" customHeight="1">
      <c r="A1" s="81" t="s">
        <v>598</v>
      </c>
      <c r="B1" s="81" t="s">
        <v>599</v>
      </c>
      <c r="C1" s="81" t="s">
        <v>13</v>
      </c>
      <c r="D1" s="81" t="s">
        <v>3</v>
      </c>
      <c r="E1" s="81" t="s">
        <v>600</v>
      </c>
      <c r="F1" s="81" t="s">
        <v>601</v>
      </c>
    </row>
    <row r="2" spans="1:6" ht="27.95" customHeight="1">
      <c r="A2" s="82" t="s">
        <v>3904</v>
      </c>
      <c r="B2" s="84" t="s">
        <v>603</v>
      </c>
      <c r="C2" s="82" t="s">
        <v>3905</v>
      </c>
      <c r="D2" s="83" t="s">
        <v>605</v>
      </c>
      <c r="E2" s="82" t="s">
        <v>636</v>
      </c>
      <c r="F2" s="82" t="s">
        <v>607</v>
      </c>
    </row>
    <row r="3" spans="1:6" ht="27.95" customHeight="1">
      <c r="A3" s="82" t="s">
        <v>3906</v>
      </c>
      <c r="B3" s="84" t="s">
        <v>603</v>
      </c>
      <c r="C3" s="82" t="s">
        <v>3743</v>
      </c>
      <c r="D3" s="83" t="s">
        <v>605</v>
      </c>
      <c r="E3" s="82" t="s">
        <v>610</v>
      </c>
      <c r="F3" s="82" t="s">
        <v>691</v>
      </c>
    </row>
    <row r="4" spans="1:6" ht="27.95" customHeight="1">
      <c r="A4" s="82" t="s">
        <v>3907</v>
      </c>
      <c r="B4" s="84" t="s">
        <v>603</v>
      </c>
      <c r="C4" s="82" t="s">
        <v>3908</v>
      </c>
      <c r="D4" s="83" t="s">
        <v>605</v>
      </c>
      <c r="E4" s="82" t="s">
        <v>610</v>
      </c>
      <c r="F4" s="82" t="s">
        <v>2427</v>
      </c>
    </row>
    <row r="5" spans="1:6" ht="27.95" customHeight="1">
      <c r="A5" s="82" t="s">
        <v>3909</v>
      </c>
      <c r="B5" s="84" t="s">
        <v>603</v>
      </c>
      <c r="C5" s="82" t="s">
        <v>3121</v>
      </c>
      <c r="D5" s="83" t="s">
        <v>605</v>
      </c>
      <c r="E5" s="82" t="s">
        <v>2661</v>
      </c>
      <c r="F5" s="82" t="s">
        <v>607</v>
      </c>
    </row>
    <row r="6" spans="1:6" ht="27.95" customHeight="1">
      <c r="A6" s="82" t="s">
        <v>3910</v>
      </c>
      <c r="B6" s="84" t="s">
        <v>603</v>
      </c>
      <c r="C6" s="82" t="s">
        <v>682</v>
      </c>
      <c r="D6" s="83" t="s">
        <v>605</v>
      </c>
      <c r="E6" s="82" t="s">
        <v>683</v>
      </c>
      <c r="F6" s="82" t="s">
        <v>607</v>
      </c>
    </row>
    <row r="7" spans="1:6" ht="27.95" customHeight="1">
      <c r="A7" s="82" t="s">
        <v>3911</v>
      </c>
      <c r="B7" s="84" t="s">
        <v>603</v>
      </c>
      <c r="C7" s="82" t="s">
        <v>609</v>
      </c>
      <c r="D7" s="83" t="s">
        <v>605</v>
      </c>
      <c r="E7" s="82" t="s">
        <v>2661</v>
      </c>
      <c r="F7" s="82" t="s">
        <v>607</v>
      </c>
    </row>
    <row r="8" spans="1:6" ht="27.95" customHeight="1">
      <c r="A8" s="82" t="s">
        <v>3912</v>
      </c>
      <c r="B8" s="84" t="s">
        <v>603</v>
      </c>
      <c r="C8" s="82" t="s">
        <v>3559</v>
      </c>
      <c r="D8" s="83" t="s">
        <v>605</v>
      </c>
      <c r="E8" s="82" t="s">
        <v>610</v>
      </c>
      <c r="F8" s="82" t="s">
        <v>607</v>
      </c>
    </row>
    <row r="9" spans="1:6" ht="27.95" customHeight="1">
      <c r="A9" s="82" t="s">
        <v>3913</v>
      </c>
      <c r="B9" s="84" t="s">
        <v>603</v>
      </c>
      <c r="C9" s="82" t="s">
        <v>3914</v>
      </c>
      <c r="D9" s="83" t="s">
        <v>605</v>
      </c>
      <c r="E9" s="82" t="s">
        <v>610</v>
      </c>
      <c r="F9" s="82" t="s">
        <v>3915</v>
      </c>
    </row>
    <row r="10" spans="1:6" ht="27.95" customHeight="1">
      <c r="A10" s="82" t="s">
        <v>3916</v>
      </c>
      <c r="B10" s="86" t="s">
        <v>615</v>
      </c>
      <c r="C10" s="82" t="s">
        <v>650</v>
      </c>
      <c r="D10" s="83" t="s">
        <v>605</v>
      </c>
      <c r="E10" s="82" t="s">
        <v>667</v>
      </c>
      <c r="F10" s="82" t="s">
        <v>607</v>
      </c>
    </row>
    <row r="11" spans="1:6" ht="27.95" customHeight="1">
      <c r="A11" s="82" t="s">
        <v>3917</v>
      </c>
      <c r="B11" s="85" t="s">
        <v>619</v>
      </c>
      <c r="C11" s="82" t="s">
        <v>3259</v>
      </c>
      <c r="D11" s="83" t="s">
        <v>605</v>
      </c>
      <c r="E11" s="82" t="s">
        <v>620</v>
      </c>
      <c r="F11" s="82" t="s">
        <v>607</v>
      </c>
    </row>
    <row r="12" spans="1:6" ht="27.95" customHeight="1">
      <c r="A12" s="82" t="s">
        <v>3918</v>
      </c>
      <c r="B12" s="84" t="s">
        <v>603</v>
      </c>
      <c r="C12" s="82" t="s">
        <v>951</v>
      </c>
      <c r="D12" s="83" t="s">
        <v>605</v>
      </c>
      <c r="E12" s="82" t="s">
        <v>610</v>
      </c>
      <c r="F12" s="82" t="s">
        <v>607</v>
      </c>
    </row>
    <row r="13" spans="1:6" ht="27.95" customHeight="1">
      <c r="A13" s="82" t="s">
        <v>3919</v>
      </c>
      <c r="B13" s="84" t="s">
        <v>603</v>
      </c>
      <c r="C13" s="82" t="s">
        <v>3104</v>
      </c>
      <c r="D13" s="83" t="s">
        <v>605</v>
      </c>
      <c r="E13" s="82" t="s">
        <v>610</v>
      </c>
      <c r="F13" s="82" t="s">
        <v>607</v>
      </c>
    </row>
    <row r="14" spans="1:6" ht="27.95" customHeight="1">
      <c r="A14" s="82" t="s">
        <v>3920</v>
      </c>
      <c r="B14" s="84" t="s">
        <v>603</v>
      </c>
      <c r="C14" s="82" t="s">
        <v>650</v>
      </c>
      <c r="D14" s="83" t="s">
        <v>605</v>
      </c>
      <c r="E14" s="82" t="s">
        <v>688</v>
      </c>
      <c r="F14" s="82" t="s">
        <v>607</v>
      </c>
    </row>
    <row r="15" spans="1:6" ht="27.95" customHeight="1">
      <c r="A15" s="82" t="s">
        <v>3921</v>
      </c>
      <c r="B15" s="84" t="s">
        <v>603</v>
      </c>
      <c r="C15" s="82" t="s">
        <v>626</v>
      </c>
      <c r="D15" s="83" t="s">
        <v>605</v>
      </c>
      <c r="E15" s="82" t="s">
        <v>610</v>
      </c>
      <c r="F15" s="82" t="s">
        <v>607</v>
      </c>
    </row>
    <row r="16" spans="1:6" ht="27.95" customHeight="1">
      <c r="A16" s="82" t="s">
        <v>3922</v>
      </c>
      <c r="B16" s="84" t="s">
        <v>603</v>
      </c>
      <c r="C16" s="82" t="s">
        <v>650</v>
      </c>
      <c r="D16" s="83" t="s">
        <v>605</v>
      </c>
      <c r="E16" s="82" t="s">
        <v>688</v>
      </c>
      <c r="F16" s="82" t="s">
        <v>607</v>
      </c>
    </row>
    <row r="17" spans="1:6" ht="27.95" customHeight="1">
      <c r="A17" s="82" t="s">
        <v>3923</v>
      </c>
      <c r="B17" s="84" t="s">
        <v>603</v>
      </c>
      <c r="C17" s="82" t="s">
        <v>3924</v>
      </c>
      <c r="D17" s="83" t="s">
        <v>605</v>
      </c>
      <c r="E17" s="82" t="s">
        <v>606</v>
      </c>
      <c r="F17" s="82" t="s">
        <v>691</v>
      </c>
    </row>
    <row r="18" spans="1:6" ht="27.95" customHeight="1">
      <c r="A18" s="82" t="s">
        <v>3925</v>
      </c>
      <c r="B18" s="84" t="s">
        <v>603</v>
      </c>
      <c r="C18" s="82" t="s">
        <v>3926</v>
      </c>
      <c r="D18" s="83" t="s">
        <v>605</v>
      </c>
      <c r="E18" s="82" t="s">
        <v>3195</v>
      </c>
      <c r="F18" s="82" t="s">
        <v>607</v>
      </c>
    </row>
    <row r="19" spans="1:6" ht="27.95" customHeight="1">
      <c r="A19" s="82" t="s">
        <v>3927</v>
      </c>
      <c r="B19" s="84" t="s">
        <v>603</v>
      </c>
      <c r="C19" s="82" t="s">
        <v>3928</v>
      </c>
      <c r="D19" s="83" t="s">
        <v>605</v>
      </c>
      <c r="E19" s="82" t="s">
        <v>610</v>
      </c>
      <c r="F19" s="82" t="s">
        <v>691</v>
      </c>
    </row>
    <row r="20" spans="1:6" ht="27.95" customHeight="1">
      <c r="A20" s="82" t="s">
        <v>3929</v>
      </c>
      <c r="B20" s="84" t="s">
        <v>603</v>
      </c>
      <c r="C20" s="82" t="s">
        <v>609</v>
      </c>
      <c r="D20" s="83" t="s">
        <v>605</v>
      </c>
      <c r="E20" s="82" t="s">
        <v>610</v>
      </c>
      <c r="F20" s="82" t="s">
        <v>607</v>
      </c>
    </row>
    <row r="21" spans="1:6" ht="27.95" customHeight="1">
      <c r="A21" s="82" t="s">
        <v>3930</v>
      </c>
      <c r="B21" s="84" t="s">
        <v>603</v>
      </c>
      <c r="C21" s="82" t="s">
        <v>650</v>
      </c>
      <c r="D21" s="83" t="s">
        <v>605</v>
      </c>
      <c r="E21" s="82" t="s">
        <v>3102</v>
      </c>
      <c r="F21" s="82" t="s">
        <v>607</v>
      </c>
    </row>
    <row r="22" spans="1:6" ht="27.95" customHeight="1">
      <c r="A22" s="82" t="s">
        <v>3931</v>
      </c>
      <c r="B22" s="85" t="s">
        <v>619</v>
      </c>
      <c r="C22" s="82" t="s">
        <v>1544</v>
      </c>
      <c r="D22" s="83" t="s">
        <v>605</v>
      </c>
      <c r="E22" s="82" t="s">
        <v>620</v>
      </c>
      <c r="F22" s="82" t="s">
        <v>607</v>
      </c>
    </row>
    <row r="23" spans="1:6" ht="27.95" customHeight="1">
      <c r="A23" s="82" t="s">
        <v>3932</v>
      </c>
      <c r="B23" s="86" t="s">
        <v>615</v>
      </c>
      <c r="C23" s="82" t="s">
        <v>3933</v>
      </c>
      <c r="D23" s="83" t="s">
        <v>605</v>
      </c>
      <c r="E23" s="82" t="s">
        <v>630</v>
      </c>
      <c r="F23" s="82" t="s">
        <v>3934</v>
      </c>
    </row>
    <row r="24" spans="1:6" ht="27.95" customHeight="1">
      <c r="A24" s="82" t="s">
        <v>3935</v>
      </c>
      <c r="B24" s="84" t="s">
        <v>603</v>
      </c>
      <c r="C24" s="82" t="s">
        <v>650</v>
      </c>
      <c r="D24" s="83" t="s">
        <v>605</v>
      </c>
      <c r="E24" s="82" t="s">
        <v>3102</v>
      </c>
      <c r="F24" s="82" t="s">
        <v>607</v>
      </c>
    </row>
    <row r="25" spans="1:6" ht="27.95" customHeight="1">
      <c r="A25" s="82" t="s">
        <v>3936</v>
      </c>
      <c r="B25" s="84" t="s">
        <v>603</v>
      </c>
      <c r="C25" s="82" t="s">
        <v>632</v>
      </c>
      <c r="D25" s="83" t="s">
        <v>605</v>
      </c>
      <c r="E25" s="82" t="s">
        <v>610</v>
      </c>
      <c r="F25" s="82" t="s">
        <v>607</v>
      </c>
    </row>
    <row r="26" spans="1:6" ht="27.95" customHeight="1">
      <c r="A26" s="82" t="s">
        <v>3937</v>
      </c>
      <c r="B26" s="84" t="s">
        <v>603</v>
      </c>
      <c r="C26" s="90" t="s">
        <v>793</v>
      </c>
      <c r="D26" s="91" t="s">
        <v>605</v>
      </c>
      <c r="E26" s="82" t="s">
        <v>610</v>
      </c>
      <c r="F26" s="82" t="s">
        <v>607</v>
      </c>
    </row>
    <row r="27" spans="1:6" ht="27.95" customHeight="1">
      <c r="A27" s="82" t="s">
        <v>3938</v>
      </c>
      <c r="B27" s="85" t="s">
        <v>619</v>
      </c>
      <c r="C27" s="90" t="s">
        <v>3939</v>
      </c>
      <c r="D27" s="91" t="s">
        <v>605</v>
      </c>
      <c r="E27" s="82" t="s">
        <v>3146</v>
      </c>
      <c r="F27" s="82" t="s">
        <v>3940</v>
      </c>
    </row>
    <row r="28" spans="1:6" ht="27.95" customHeight="1">
      <c r="A28" s="82" t="s">
        <v>3941</v>
      </c>
      <c r="B28" s="85" t="s">
        <v>619</v>
      </c>
      <c r="C28" s="90" t="s">
        <v>653</v>
      </c>
      <c r="D28" s="91" t="s">
        <v>605</v>
      </c>
      <c r="E28" s="82" t="s">
        <v>876</v>
      </c>
      <c r="F28" s="82" t="s">
        <v>607</v>
      </c>
    </row>
    <row r="29" spans="1:6" ht="27.95" customHeight="1">
      <c r="A29" s="82" t="s">
        <v>306</v>
      </c>
      <c r="B29" s="84" t="s">
        <v>603</v>
      </c>
      <c r="C29" s="90" t="s">
        <v>3942</v>
      </c>
      <c r="D29" s="91" t="s">
        <v>605</v>
      </c>
      <c r="E29" s="82" t="s">
        <v>610</v>
      </c>
      <c r="F29" s="82" t="s">
        <v>3943</v>
      </c>
    </row>
    <row r="30" spans="1:6" ht="27.95" customHeight="1">
      <c r="A30" s="82" t="s">
        <v>3944</v>
      </c>
      <c r="B30" s="84" t="s">
        <v>603</v>
      </c>
      <c r="C30" s="92" t="s">
        <v>3945</v>
      </c>
      <c r="D30" s="91" t="s">
        <v>605</v>
      </c>
      <c r="E30" s="82" t="s">
        <v>606</v>
      </c>
      <c r="F30" s="82" t="s">
        <v>691</v>
      </c>
    </row>
    <row r="31" spans="1:6" ht="27.95" customHeight="1">
      <c r="A31" s="82" t="s">
        <v>229</v>
      </c>
      <c r="B31" s="86" t="s">
        <v>615</v>
      </c>
      <c r="C31" s="82" t="s">
        <v>3650</v>
      </c>
      <c r="D31" s="83" t="s">
        <v>605</v>
      </c>
      <c r="E31" s="82" t="s">
        <v>617</v>
      </c>
      <c r="F31" s="82" t="s">
        <v>3946</v>
      </c>
    </row>
    <row r="32" spans="1:6" ht="27.95" customHeight="1">
      <c r="A32" s="82" t="s">
        <v>3947</v>
      </c>
      <c r="B32" s="84" t="s">
        <v>603</v>
      </c>
      <c r="C32" s="93" t="s">
        <v>3176</v>
      </c>
      <c r="D32" s="83" t="s">
        <v>605</v>
      </c>
      <c r="E32" s="82" t="s">
        <v>2661</v>
      </c>
      <c r="F32" s="82" t="s">
        <v>607</v>
      </c>
    </row>
    <row r="33" spans="3:4" ht="15">
      <c r="C33" s="17"/>
      <c r="D33" s="18"/>
    </row>
    <row r="34" spans="3:4" ht="15">
      <c r="C34" s="88" t="s">
        <v>633</v>
      </c>
      <c r="D34" s="89" t="str">
        <f>COUNTIF(D2:D32,"☑")&amp;" / "&amp;COUNTA(A2:A32)</f>
        <v>0 / 31</v>
      </c>
    </row>
  </sheetData>
  <conditionalFormatting sqref="B2:B24">
    <cfRule type="expression" dxfId="6" priority="1">
      <formula>B2="A"</formula>
    </cfRule>
    <cfRule type="expression" dxfId="5" priority="2">
      <formula>B2="B"</formula>
    </cfRule>
    <cfRule type="expression" dxfId="4" priority="3">
      <formula>B2="C"</formula>
    </cfRule>
  </conditionalFormatting>
  <conditionalFormatting sqref="D2:D31">
    <cfRule type="expression" dxfId="3" priority="4">
      <formula>D2="☑"</formula>
    </cfRule>
  </conditionalFormatting>
  <conditionalFormatting sqref="D2:D32">
    <cfRule type="expression" dxfId="2" priority="12">
      <formula>D2="☑"</formula>
    </cfRule>
  </conditionalFormatting>
  <dataValidations count="1">
    <dataValidation type="list" sqref="D2:D32" xr:uid="{00000000-0002-0000-2800-000000000000}">
      <formula1>"☐,☑"</formula1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45"/>
  <sheetViews>
    <sheetView tabSelected="1" workbookViewId="0"/>
  </sheetViews>
  <sheetFormatPr defaultRowHeight="14.25"/>
  <cols>
    <col min="1" max="1" width="34" customWidth="1"/>
    <col min="2" max="2" width="9" customWidth="1"/>
    <col min="3" max="3" width="10" customWidth="1"/>
    <col min="4" max="4" width="50" customWidth="1"/>
    <col min="5" max="5" width="12" customWidth="1"/>
    <col min="6" max="6" width="46" customWidth="1"/>
    <col min="7" max="7" width="58" customWidth="1"/>
  </cols>
  <sheetData>
    <row r="1" spans="1:7" ht="21.95" customHeight="1">
      <c r="A1" s="81" t="s">
        <v>598</v>
      </c>
      <c r="B1" s="81" t="s">
        <v>5</v>
      </c>
      <c r="C1" s="81" t="s">
        <v>599</v>
      </c>
      <c r="D1" s="81" t="s">
        <v>13</v>
      </c>
      <c r="E1" s="81" t="s">
        <v>3</v>
      </c>
      <c r="F1" s="81" t="s">
        <v>600</v>
      </c>
      <c r="G1" s="81" t="s">
        <v>601</v>
      </c>
    </row>
    <row r="2" spans="1:7" ht="27.95" customHeight="1">
      <c r="A2" s="82" t="s">
        <v>3948</v>
      </c>
      <c r="B2" s="83">
        <v>1902</v>
      </c>
      <c r="C2" s="84" t="s">
        <v>603</v>
      </c>
      <c r="D2" s="82" t="s">
        <v>3949</v>
      </c>
      <c r="E2" s="83" t="s">
        <v>605</v>
      </c>
      <c r="F2" s="82" t="s">
        <v>3950</v>
      </c>
      <c r="G2" s="82" t="s">
        <v>3951</v>
      </c>
    </row>
    <row r="3" spans="1:7" ht="27.95" customHeight="1">
      <c r="A3" s="82" t="s">
        <v>3952</v>
      </c>
      <c r="B3" s="83">
        <v>1920</v>
      </c>
      <c r="C3" s="84" t="s">
        <v>603</v>
      </c>
      <c r="D3" s="82" t="s">
        <v>609</v>
      </c>
      <c r="E3" s="83" t="s">
        <v>605</v>
      </c>
      <c r="F3" s="82" t="s">
        <v>2332</v>
      </c>
      <c r="G3" s="82" t="s">
        <v>3953</v>
      </c>
    </row>
    <row r="4" spans="1:7" ht="27.95" customHeight="1">
      <c r="A4" s="82" t="s">
        <v>3954</v>
      </c>
      <c r="B4" s="83">
        <v>1920</v>
      </c>
      <c r="C4" s="84" t="s">
        <v>603</v>
      </c>
      <c r="D4" s="82" t="s">
        <v>1494</v>
      </c>
      <c r="E4" s="83" t="s">
        <v>605</v>
      </c>
      <c r="F4" s="82" t="s">
        <v>3955</v>
      </c>
      <c r="G4" s="82" t="s">
        <v>3956</v>
      </c>
    </row>
    <row r="5" spans="1:7" ht="27.95" customHeight="1">
      <c r="A5" s="82" t="s">
        <v>3957</v>
      </c>
      <c r="B5" s="83">
        <v>1922</v>
      </c>
      <c r="C5" s="84" t="s">
        <v>603</v>
      </c>
      <c r="D5" s="82" t="s">
        <v>622</v>
      </c>
      <c r="E5" s="83" t="s">
        <v>605</v>
      </c>
      <c r="F5" s="82" t="s">
        <v>678</v>
      </c>
      <c r="G5" s="82" t="s">
        <v>3958</v>
      </c>
    </row>
    <row r="6" spans="1:7" ht="27.95" customHeight="1">
      <c r="A6" s="82" t="s">
        <v>3959</v>
      </c>
      <c r="B6" s="83">
        <v>1922</v>
      </c>
      <c r="C6" s="84" t="s">
        <v>603</v>
      </c>
      <c r="D6" s="82" t="s">
        <v>1239</v>
      </c>
      <c r="E6" s="83" t="s">
        <v>605</v>
      </c>
      <c r="F6" s="82" t="s">
        <v>678</v>
      </c>
      <c r="G6" s="82" t="s">
        <v>3960</v>
      </c>
    </row>
    <row r="7" spans="1:7" ht="27.95" customHeight="1">
      <c r="A7" s="82" t="s">
        <v>3961</v>
      </c>
      <c r="B7" s="83">
        <v>1927</v>
      </c>
      <c r="C7" s="84" t="s">
        <v>603</v>
      </c>
      <c r="D7" s="82" t="s">
        <v>3962</v>
      </c>
      <c r="E7" s="83" t="s">
        <v>605</v>
      </c>
      <c r="F7" s="82" t="s">
        <v>678</v>
      </c>
      <c r="G7" s="82" t="s">
        <v>3963</v>
      </c>
    </row>
    <row r="8" spans="1:7" ht="27.95" customHeight="1">
      <c r="A8" s="82" t="s">
        <v>3964</v>
      </c>
      <c r="B8" s="83">
        <v>1931</v>
      </c>
      <c r="C8" s="86" t="s">
        <v>615</v>
      </c>
      <c r="D8" s="82" t="s">
        <v>1239</v>
      </c>
      <c r="E8" s="83" t="s">
        <v>605</v>
      </c>
      <c r="F8" s="82" t="s">
        <v>617</v>
      </c>
      <c r="G8" s="82" t="s">
        <v>3965</v>
      </c>
    </row>
    <row r="9" spans="1:7" ht="27.95" customHeight="1">
      <c r="A9" s="82" t="s">
        <v>3966</v>
      </c>
      <c r="B9" s="83">
        <v>1931</v>
      </c>
      <c r="C9" s="86" t="s">
        <v>615</v>
      </c>
      <c r="D9" s="82" t="s">
        <v>1494</v>
      </c>
      <c r="E9" s="83" t="s">
        <v>605</v>
      </c>
      <c r="F9" s="82" t="s">
        <v>3158</v>
      </c>
      <c r="G9" s="82" t="s">
        <v>3965</v>
      </c>
    </row>
    <row r="10" spans="1:7" ht="27.95" customHeight="1">
      <c r="A10" s="82" t="s">
        <v>3967</v>
      </c>
      <c r="B10" s="83">
        <v>1931</v>
      </c>
      <c r="C10" s="84" t="s">
        <v>603</v>
      </c>
      <c r="D10" s="82" t="s">
        <v>3968</v>
      </c>
      <c r="E10" s="83" t="s">
        <v>605</v>
      </c>
      <c r="F10" s="82" t="s">
        <v>678</v>
      </c>
      <c r="G10" s="82" t="s">
        <v>3969</v>
      </c>
    </row>
    <row r="11" spans="1:7" ht="27.95" customHeight="1">
      <c r="A11" s="82" t="s">
        <v>3970</v>
      </c>
      <c r="B11" s="83">
        <v>1932</v>
      </c>
      <c r="C11" s="84" t="s">
        <v>603</v>
      </c>
      <c r="D11" s="82" t="s">
        <v>3971</v>
      </c>
      <c r="E11" s="83" t="s">
        <v>605</v>
      </c>
      <c r="F11" s="82" t="s">
        <v>3972</v>
      </c>
      <c r="G11" s="82" t="s">
        <v>3973</v>
      </c>
    </row>
    <row r="12" spans="1:7" ht="27.95" customHeight="1">
      <c r="A12" s="82" t="s">
        <v>3974</v>
      </c>
      <c r="B12" s="83">
        <v>1932</v>
      </c>
      <c r="C12" s="84" t="s">
        <v>603</v>
      </c>
      <c r="D12" s="82" t="s">
        <v>1239</v>
      </c>
      <c r="E12" s="83" t="s">
        <v>605</v>
      </c>
      <c r="F12" s="82" t="s">
        <v>678</v>
      </c>
      <c r="G12" s="82" t="s">
        <v>3975</v>
      </c>
    </row>
    <row r="13" spans="1:7" ht="27.95" customHeight="1">
      <c r="A13" s="82" t="s">
        <v>1500</v>
      </c>
      <c r="B13" s="83">
        <v>1933</v>
      </c>
      <c r="C13" s="86" t="s">
        <v>615</v>
      </c>
      <c r="D13" s="82" t="s">
        <v>3976</v>
      </c>
      <c r="E13" s="83" t="s">
        <v>605</v>
      </c>
      <c r="F13" s="82" t="s">
        <v>3977</v>
      </c>
      <c r="G13" s="82" t="s">
        <v>3978</v>
      </c>
    </row>
    <row r="14" spans="1:7" ht="27.95" customHeight="1">
      <c r="A14" s="82" t="s">
        <v>3979</v>
      </c>
      <c r="B14" s="83">
        <v>1933</v>
      </c>
      <c r="C14" s="84" t="s">
        <v>603</v>
      </c>
      <c r="D14" s="82" t="s">
        <v>632</v>
      </c>
      <c r="E14" s="83" t="s">
        <v>605</v>
      </c>
      <c r="F14" s="82" t="s">
        <v>3980</v>
      </c>
      <c r="G14" s="82" t="s">
        <v>3981</v>
      </c>
    </row>
    <row r="15" spans="1:7" ht="27.95" customHeight="1">
      <c r="A15" s="82" t="s">
        <v>3982</v>
      </c>
      <c r="B15" s="83">
        <v>1935</v>
      </c>
      <c r="C15" s="84" t="s">
        <v>603</v>
      </c>
      <c r="D15" s="82" t="s">
        <v>3983</v>
      </c>
      <c r="E15" s="83" t="s">
        <v>605</v>
      </c>
      <c r="F15" s="82" t="s">
        <v>3984</v>
      </c>
      <c r="G15" s="82" t="s">
        <v>3985</v>
      </c>
    </row>
    <row r="16" spans="1:7" ht="27.95" customHeight="1">
      <c r="A16" s="82" t="s">
        <v>1554</v>
      </c>
      <c r="B16" s="83">
        <v>1936</v>
      </c>
      <c r="C16" s="84" t="s">
        <v>603</v>
      </c>
      <c r="D16" s="82" t="s">
        <v>3986</v>
      </c>
      <c r="E16" s="83" t="s">
        <v>605</v>
      </c>
      <c r="F16" s="82" t="s">
        <v>2332</v>
      </c>
      <c r="G16" s="82" t="s">
        <v>3987</v>
      </c>
    </row>
    <row r="17" spans="1:7" ht="27.95" customHeight="1">
      <c r="A17" s="82" t="s">
        <v>3988</v>
      </c>
      <c r="B17" s="83">
        <v>1939</v>
      </c>
      <c r="C17" s="86" t="s">
        <v>615</v>
      </c>
      <c r="D17" s="82" t="s">
        <v>3989</v>
      </c>
      <c r="E17" s="83" t="s">
        <v>605</v>
      </c>
      <c r="F17" s="82" t="s">
        <v>3990</v>
      </c>
      <c r="G17" s="82" t="s">
        <v>3991</v>
      </c>
    </row>
    <row r="18" spans="1:7" ht="27.95" customHeight="1">
      <c r="A18" s="82" t="s">
        <v>3992</v>
      </c>
      <c r="B18" s="83">
        <v>1940</v>
      </c>
      <c r="C18" s="85" t="s">
        <v>619</v>
      </c>
      <c r="D18" s="82" t="s">
        <v>609</v>
      </c>
      <c r="E18" s="83" t="s">
        <v>605</v>
      </c>
      <c r="F18" s="82" t="s">
        <v>3950</v>
      </c>
      <c r="G18" s="82" t="s">
        <v>3993</v>
      </c>
    </row>
    <row r="19" spans="1:7" ht="27.95" customHeight="1">
      <c r="A19" s="82" t="s">
        <v>3994</v>
      </c>
      <c r="B19" s="83">
        <v>1941</v>
      </c>
      <c r="C19" s="86" t="s">
        <v>615</v>
      </c>
      <c r="D19" s="82" t="s">
        <v>3995</v>
      </c>
      <c r="E19" s="83" t="s">
        <v>605</v>
      </c>
      <c r="F19" s="82" t="s">
        <v>617</v>
      </c>
      <c r="G19" s="82" t="s">
        <v>3996</v>
      </c>
    </row>
    <row r="20" spans="1:7" ht="27.95" customHeight="1">
      <c r="A20" s="82" t="s">
        <v>3997</v>
      </c>
      <c r="B20" s="83">
        <v>1942</v>
      </c>
      <c r="C20" s="84" t="s">
        <v>603</v>
      </c>
      <c r="D20" s="82" t="s">
        <v>1685</v>
      </c>
      <c r="E20" s="83" t="s">
        <v>605</v>
      </c>
      <c r="F20" s="82" t="s">
        <v>3955</v>
      </c>
      <c r="G20" s="82" t="s">
        <v>3998</v>
      </c>
    </row>
    <row r="21" spans="1:7" ht="27.95" customHeight="1">
      <c r="A21" s="82" t="s">
        <v>3999</v>
      </c>
      <c r="B21" s="83">
        <v>1945</v>
      </c>
      <c r="C21" s="84" t="s">
        <v>603</v>
      </c>
      <c r="D21" s="82" t="s">
        <v>4000</v>
      </c>
      <c r="E21" s="83" t="s">
        <v>605</v>
      </c>
      <c r="F21" s="82" t="s">
        <v>678</v>
      </c>
      <c r="G21" s="82" t="s">
        <v>4001</v>
      </c>
    </row>
    <row r="22" spans="1:7" ht="27.95" customHeight="1">
      <c r="A22" s="82" t="s">
        <v>4002</v>
      </c>
      <c r="B22" s="83">
        <v>1949</v>
      </c>
      <c r="C22" s="84" t="s">
        <v>603</v>
      </c>
      <c r="D22" s="82" t="s">
        <v>4003</v>
      </c>
      <c r="E22" s="83" t="s">
        <v>605</v>
      </c>
      <c r="F22" s="82" t="s">
        <v>2332</v>
      </c>
      <c r="G22" s="82" t="s">
        <v>4004</v>
      </c>
    </row>
    <row r="23" spans="1:7" ht="27.95" customHeight="1">
      <c r="A23" s="82" t="s">
        <v>4005</v>
      </c>
      <c r="B23" s="83">
        <v>1950</v>
      </c>
      <c r="C23" s="84" t="s">
        <v>603</v>
      </c>
      <c r="D23" s="82" t="s">
        <v>4006</v>
      </c>
      <c r="E23" s="83" t="s">
        <v>605</v>
      </c>
      <c r="F23" s="82" t="s">
        <v>678</v>
      </c>
      <c r="G23" s="82" t="s">
        <v>4007</v>
      </c>
    </row>
    <row r="24" spans="1:7" ht="27.95" customHeight="1">
      <c r="A24" s="82" t="s">
        <v>4008</v>
      </c>
      <c r="B24" s="83">
        <v>1951</v>
      </c>
      <c r="C24" s="86" t="s">
        <v>615</v>
      </c>
      <c r="D24" s="82" t="s">
        <v>4009</v>
      </c>
      <c r="E24" s="83" t="s">
        <v>605</v>
      </c>
      <c r="F24" s="82" t="s">
        <v>617</v>
      </c>
      <c r="G24" s="82" t="s">
        <v>4010</v>
      </c>
    </row>
    <row r="25" spans="1:7" ht="27.95" customHeight="1">
      <c r="A25" s="82" t="s">
        <v>4011</v>
      </c>
      <c r="B25" s="83">
        <v>1951</v>
      </c>
      <c r="C25" s="84" t="s">
        <v>603</v>
      </c>
      <c r="D25" s="82" t="s">
        <v>2001</v>
      </c>
      <c r="E25" s="83" t="s">
        <v>605</v>
      </c>
      <c r="F25" s="82" t="s">
        <v>678</v>
      </c>
      <c r="G25" s="82" t="s">
        <v>4012</v>
      </c>
    </row>
    <row r="26" spans="1:7" ht="27.95" customHeight="1">
      <c r="A26" s="82" t="s">
        <v>4013</v>
      </c>
      <c r="B26" s="83">
        <v>1953</v>
      </c>
      <c r="C26" s="84" t="s">
        <v>603</v>
      </c>
      <c r="D26" s="82" t="s">
        <v>4014</v>
      </c>
      <c r="E26" s="83" t="s">
        <v>605</v>
      </c>
      <c r="F26" s="82" t="s">
        <v>4015</v>
      </c>
      <c r="G26" s="82" t="s">
        <v>4016</v>
      </c>
    </row>
    <row r="27" spans="1:7" ht="27.95" customHeight="1">
      <c r="A27" s="82" t="s">
        <v>200</v>
      </c>
      <c r="B27" s="83">
        <v>1953</v>
      </c>
      <c r="C27" s="84" t="s">
        <v>603</v>
      </c>
      <c r="D27" s="82" t="s">
        <v>4017</v>
      </c>
      <c r="E27" s="83" t="s">
        <v>605</v>
      </c>
      <c r="F27" s="82" t="s">
        <v>678</v>
      </c>
      <c r="G27" s="82" t="s">
        <v>4010</v>
      </c>
    </row>
    <row r="28" spans="1:7" ht="27.95" customHeight="1">
      <c r="A28" s="82" t="s">
        <v>4018</v>
      </c>
      <c r="B28" s="83">
        <v>1953</v>
      </c>
      <c r="C28" s="84" t="s">
        <v>603</v>
      </c>
      <c r="D28" s="82" t="s">
        <v>4019</v>
      </c>
      <c r="E28" s="83" t="s">
        <v>605</v>
      </c>
      <c r="F28" s="82" t="s">
        <v>4020</v>
      </c>
      <c r="G28" s="82" t="s">
        <v>4021</v>
      </c>
    </row>
    <row r="29" spans="1:7" ht="27.95" customHeight="1">
      <c r="A29" s="82" t="s">
        <v>4022</v>
      </c>
      <c r="B29" s="83">
        <v>1954</v>
      </c>
      <c r="C29" s="86" t="s">
        <v>615</v>
      </c>
      <c r="D29" s="82" t="s">
        <v>4023</v>
      </c>
      <c r="E29" s="83" t="s">
        <v>605</v>
      </c>
      <c r="F29" s="82" t="s">
        <v>753</v>
      </c>
      <c r="G29" s="82" t="s">
        <v>637</v>
      </c>
    </row>
    <row r="30" spans="1:7" ht="27.95" customHeight="1">
      <c r="A30" s="82" t="s">
        <v>4024</v>
      </c>
      <c r="B30" s="83">
        <v>1955</v>
      </c>
      <c r="C30" s="84" t="s">
        <v>603</v>
      </c>
      <c r="D30" s="82" t="s">
        <v>4025</v>
      </c>
      <c r="E30" s="83" t="s">
        <v>605</v>
      </c>
      <c r="F30" s="82" t="s">
        <v>4015</v>
      </c>
      <c r="G30" s="82" t="s">
        <v>4026</v>
      </c>
    </row>
    <row r="31" spans="1:7" ht="27.95" customHeight="1">
      <c r="A31" s="82" t="s">
        <v>4027</v>
      </c>
      <c r="B31" s="83">
        <v>1955</v>
      </c>
      <c r="C31" s="84" t="s">
        <v>603</v>
      </c>
      <c r="D31" s="82" t="s">
        <v>4028</v>
      </c>
      <c r="E31" s="83" t="s">
        <v>605</v>
      </c>
      <c r="F31" s="82" t="s">
        <v>4029</v>
      </c>
      <c r="G31" s="82" t="s">
        <v>4030</v>
      </c>
    </row>
    <row r="32" spans="1:7" ht="27.95" customHeight="1">
      <c r="A32" s="82" t="s">
        <v>4031</v>
      </c>
      <c r="B32" s="83">
        <v>1955</v>
      </c>
      <c r="C32" s="84" t="s">
        <v>603</v>
      </c>
      <c r="D32" s="82" t="s">
        <v>4032</v>
      </c>
      <c r="E32" s="83" t="s">
        <v>605</v>
      </c>
      <c r="F32" s="82" t="s">
        <v>4033</v>
      </c>
      <c r="G32" s="82" t="s">
        <v>4034</v>
      </c>
    </row>
    <row r="33" spans="1:7" ht="27.95" customHeight="1">
      <c r="A33" s="82" t="s">
        <v>370</v>
      </c>
      <c r="B33" s="83">
        <v>1956</v>
      </c>
      <c r="C33" s="84" t="s">
        <v>603</v>
      </c>
      <c r="D33" s="82" t="s">
        <v>4035</v>
      </c>
      <c r="E33" s="83" t="s">
        <v>605</v>
      </c>
      <c r="F33" s="82" t="s">
        <v>4036</v>
      </c>
      <c r="G33" s="82" t="s">
        <v>4012</v>
      </c>
    </row>
    <row r="34" spans="1:7" ht="27.95" customHeight="1">
      <c r="A34" s="82" t="s">
        <v>1678</v>
      </c>
      <c r="B34" s="83">
        <v>1956</v>
      </c>
      <c r="C34" s="84" t="s">
        <v>603</v>
      </c>
      <c r="D34" s="82" t="s">
        <v>4037</v>
      </c>
      <c r="E34" s="83" t="s">
        <v>605</v>
      </c>
      <c r="F34" s="82" t="s">
        <v>678</v>
      </c>
      <c r="G34" s="82" t="s">
        <v>3958</v>
      </c>
    </row>
    <row r="35" spans="1:7" ht="27.95" customHeight="1">
      <c r="A35" s="82" t="s">
        <v>372</v>
      </c>
      <c r="B35" s="83">
        <v>1957</v>
      </c>
      <c r="C35" s="84" t="s">
        <v>603</v>
      </c>
      <c r="D35" s="82" t="s">
        <v>4038</v>
      </c>
      <c r="E35" s="83" t="s">
        <v>605</v>
      </c>
      <c r="F35" s="82" t="s">
        <v>2332</v>
      </c>
      <c r="G35" s="82" t="s">
        <v>4039</v>
      </c>
    </row>
    <row r="36" spans="1:7" ht="27.95" customHeight="1">
      <c r="A36" s="82" t="s">
        <v>4040</v>
      </c>
      <c r="B36" s="83">
        <v>1957</v>
      </c>
      <c r="C36" s="84" t="s">
        <v>603</v>
      </c>
      <c r="D36" s="82" t="s">
        <v>4041</v>
      </c>
      <c r="E36" s="83" t="s">
        <v>605</v>
      </c>
      <c r="F36" s="82" t="s">
        <v>678</v>
      </c>
      <c r="G36" s="82" t="s">
        <v>3996</v>
      </c>
    </row>
    <row r="37" spans="1:7" ht="27.95" customHeight="1">
      <c r="A37" s="82" t="s">
        <v>4042</v>
      </c>
      <c r="B37" s="83">
        <v>1957</v>
      </c>
      <c r="C37" s="84" t="s">
        <v>603</v>
      </c>
      <c r="D37" s="82" t="s">
        <v>4043</v>
      </c>
      <c r="E37" s="83" t="s">
        <v>605</v>
      </c>
      <c r="F37" s="82" t="s">
        <v>678</v>
      </c>
      <c r="G37" s="82" t="s">
        <v>4044</v>
      </c>
    </row>
    <row r="38" spans="1:7" ht="27.95" customHeight="1">
      <c r="A38" s="82" t="s">
        <v>2951</v>
      </c>
      <c r="B38" s="83">
        <v>1958</v>
      </c>
      <c r="C38" s="84" t="s">
        <v>603</v>
      </c>
      <c r="D38" s="82" t="s">
        <v>4045</v>
      </c>
      <c r="E38" s="83" t="s">
        <v>605</v>
      </c>
      <c r="F38" s="82" t="s">
        <v>4046</v>
      </c>
      <c r="G38" s="82" t="s">
        <v>4047</v>
      </c>
    </row>
    <row r="39" spans="1:7" ht="27.95" customHeight="1">
      <c r="A39" s="82" t="s">
        <v>2684</v>
      </c>
      <c r="B39" s="83">
        <v>1958</v>
      </c>
      <c r="C39" s="84" t="s">
        <v>603</v>
      </c>
      <c r="D39" s="82" t="s">
        <v>609</v>
      </c>
      <c r="E39" s="83" t="s">
        <v>605</v>
      </c>
      <c r="F39" s="82" t="s">
        <v>2332</v>
      </c>
      <c r="G39" s="82" t="s">
        <v>4048</v>
      </c>
    </row>
    <row r="40" spans="1:7" ht="27.95" customHeight="1">
      <c r="A40" s="82" t="s">
        <v>4049</v>
      </c>
      <c r="B40" s="83">
        <v>1958</v>
      </c>
      <c r="C40" s="84" t="s">
        <v>603</v>
      </c>
      <c r="D40" s="93" t="s">
        <v>4050</v>
      </c>
      <c r="E40" s="83" t="s">
        <v>605</v>
      </c>
      <c r="F40" s="82" t="s">
        <v>4051</v>
      </c>
      <c r="G40" s="82" t="s">
        <v>3996</v>
      </c>
    </row>
    <row r="41" spans="1:7" ht="27.95" customHeight="1">
      <c r="A41" s="82" t="s">
        <v>374</v>
      </c>
      <c r="B41" s="83">
        <v>1959</v>
      </c>
      <c r="C41" s="84" t="s">
        <v>603</v>
      </c>
      <c r="D41" s="82" t="s">
        <v>4052</v>
      </c>
      <c r="E41" s="83" t="s">
        <v>605</v>
      </c>
      <c r="F41" s="82" t="s">
        <v>678</v>
      </c>
      <c r="G41" s="82" t="s">
        <v>4053</v>
      </c>
    </row>
    <row r="42" spans="1:7" ht="27.95" customHeight="1">
      <c r="A42" s="82" t="s">
        <v>4054</v>
      </c>
      <c r="B42" s="83">
        <v>1959</v>
      </c>
      <c r="C42" s="84" t="s">
        <v>603</v>
      </c>
      <c r="D42" s="82" t="s">
        <v>4055</v>
      </c>
      <c r="E42" s="83" t="s">
        <v>605</v>
      </c>
      <c r="F42" s="82" t="s">
        <v>4056</v>
      </c>
      <c r="G42" s="82" t="s">
        <v>4057</v>
      </c>
    </row>
    <row r="43" spans="1:7" ht="27.95" customHeight="1">
      <c r="A43" s="82" t="s">
        <v>376</v>
      </c>
      <c r="B43" s="83">
        <v>1959</v>
      </c>
      <c r="C43" s="84" t="s">
        <v>603</v>
      </c>
      <c r="D43" s="82" t="s">
        <v>609</v>
      </c>
      <c r="E43" s="83" t="s">
        <v>605</v>
      </c>
      <c r="F43" s="82" t="s">
        <v>678</v>
      </c>
      <c r="G43" s="82" t="s">
        <v>4058</v>
      </c>
    </row>
    <row r="44" spans="1:7" ht="15">
      <c r="D44" s="63"/>
      <c r="E44" s="63"/>
    </row>
    <row r="45" spans="1:7" ht="15">
      <c r="D45" s="87" t="s">
        <v>633</v>
      </c>
      <c r="E45" s="87" t="str">
        <f>COUNTIF(E2:E43,"☑")&amp;" / "&amp;COUNTA(A2:A43)</f>
        <v>0 / 42</v>
      </c>
    </row>
  </sheetData>
  <conditionalFormatting sqref="E2:E42">
    <cfRule type="expression" dxfId="1" priority="1">
      <formula>E2="☑"</formula>
    </cfRule>
  </conditionalFormatting>
  <conditionalFormatting sqref="E2:E43">
    <cfRule type="expression" dxfId="0" priority="4">
      <formula>E2="☑"</formula>
    </cfRule>
  </conditionalFormatting>
  <dataValidations count="1">
    <dataValidation type="list" sqref="E2:E43" xr:uid="{00000000-0002-0000-3300-000000000000}">
      <formula1>"☐,☑"</formula1>
    </dataValidation>
  </dataValidation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84"/>
  <sheetViews>
    <sheetView topLeftCell="A10" workbookViewId="0">
      <selection sqref="A1:F1"/>
    </sheetView>
  </sheetViews>
  <sheetFormatPr defaultRowHeight="14.25"/>
  <cols>
    <col min="1" max="1" width="26" customWidth="1"/>
    <col min="2" max="2" width="48" customWidth="1"/>
    <col min="3" max="3" width="72" customWidth="1"/>
    <col min="4" max="4" width="24" customWidth="1"/>
    <col min="5" max="5" width="12" customWidth="1"/>
    <col min="6" max="6" width="58" customWidth="1"/>
  </cols>
  <sheetData>
    <row r="1" spans="1:6" ht="27.95" customHeight="1">
      <c r="A1" s="98" t="s">
        <v>4059</v>
      </c>
      <c r="B1" s="98"/>
      <c r="C1" s="98"/>
      <c r="D1" s="98"/>
      <c r="E1" s="98"/>
      <c r="F1" s="98"/>
    </row>
    <row r="2" spans="1:6">
      <c r="A2" s="99" t="s">
        <v>4060</v>
      </c>
      <c r="B2" s="99"/>
      <c r="C2" s="99"/>
      <c r="D2" s="99"/>
      <c r="E2" s="99"/>
      <c r="F2" s="99"/>
    </row>
    <row r="4" spans="1:6" ht="15">
      <c r="A4" s="25" t="s">
        <v>599</v>
      </c>
      <c r="B4" s="25" t="s">
        <v>4061</v>
      </c>
      <c r="C4" s="25" t="s">
        <v>4062</v>
      </c>
      <c r="D4" s="25" t="s">
        <v>4063</v>
      </c>
      <c r="E4" s="25" t="s">
        <v>4064</v>
      </c>
      <c r="F4" s="25" t="s">
        <v>4065</v>
      </c>
    </row>
    <row r="5" spans="1:6">
      <c r="A5" s="35" t="s">
        <v>603</v>
      </c>
      <c r="B5" s="2" t="s">
        <v>4066</v>
      </c>
      <c r="C5" s="2" t="s">
        <v>4067</v>
      </c>
      <c r="D5" s="26" t="s">
        <v>4068</v>
      </c>
      <c r="E5" s="26">
        <v>1917</v>
      </c>
      <c r="F5" s="26" t="s">
        <v>4069</v>
      </c>
    </row>
    <row r="6" spans="1:6">
      <c r="A6" s="36" t="s">
        <v>619</v>
      </c>
      <c r="B6" s="2" t="s">
        <v>4070</v>
      </c>
      <c r="C6" s="2" t="s">
        <v>4071</v>
      </c>
      <c r="D6" s="26" t="s">
        <v>446</v>
      </c>
      <c r="E6" s="26">
        <v>1081</v>
      </c>
      <c r="F6" s="26" t="s">
        <v>4072</v>
      </c>
    </row>
    <row r="7" spans="1:6">
      <c r="A7" s="37" t="s">
        <v>615</v>
      </c>
      <c r="B7" s="2" t="s">
        <v>4073</v>
      </c>
      <c r="C7" s="2" t="s">
        <v>4074</v>
      </c>
      <c r="D7" s="26" t="s">
        <v>447</v>
      </c>
      <c r="E7" s="26">
        <v>778</v>
      </c>
      <c r="F7" s="26" t="s">
        <v>4075</v>
      </c>
    </row>
    <row r="8" spans="1:6">
      <c r="D8" s="26" t="s">
        <v>249</v>
      </c>
      <c r="E8" s="26">
        <v>58</v>
      </c>
      <c r="F8" s="26" t="s">
        <v>4076</v>
      </c>
    </row>
    <row r="9" spans="1:6">
      <c r="D9" s="26" t="s">
        <v>4077</v>
      </c>
      <c r="E9" s="26">
        <v>587</v>
      </c>
      <c r="F9" s="26" t="s">
        <v>4078</v>
      </c>
    </row>
    <row r="10" spans="1:6" ht="15">
      <c r="A10" s="25" t="s">
        <v>4079</v>
      </c>
      <c r="B10" s="25" t="s">
        <v>4061</v>
      </c>
      <c r="D10" s="26" t="s">
        <v>4080</v>
      </c>
      <c r="E10" s="26">
        <v>1917</v>
      </c>
      <c r="F10" s="26" t="s">
        <v>4081</v>
      </c>
    </row>
    <row r="11" spans="1:6">
      <c r="A11" s="26" t="s">
        <v>610</v>
      </c>
      <c r="B11" s="26" t="s">
        <v>4082</v>
      </c>
    </row>
    <row r="12" spans="1:6" ht="28.5">
      <c r="A12" s="26" t="s">
        <v>617</v>
      </c>
      <c r="B12" s="26" t="s">
        <v>4083</v>
      </c>
    </row>
    <row r="13" spans="1:6">
      <c r="A13" s="26" t="s">
        <v>1939</v>
      </c>
      <c r="B13" s="26" t="s">
        <v>4084</v>
      </c>
    </row>
    <row r="14" spans="1:6" ht="28.5">
      <c r="A14" s="26" t="s">
        <v>4085</v>
      </c>
      <c r="B14" s="26" t="s">
        <v>4086</v>
      </c>
    </row>
    <row r="15" spans="1:6">
      <c r="A15" s="26" t="s">
        <v>2661</v>
      </c>
      <c r="B15" s="26" t="s">
        <v>4087</v>
      </c>
    </row>
    <row r="16" spans="1:6">
      <c r="A16" s="26" t="s">
        <v>2860</v>
      </c>
      <c r="B16" s="26" t="s">
        <v>4088</v>
      </c>
    </row>
    <row r="17" spans="1:2">
      <c r="A17" s="26" t="s">
        <v>1111</v>
      </c>
      <c r="B17" s="26" t="s">
        <v>4089</v>
      </c>
    </row>
    <row r="18" spans="1:2">
      <c r="A18" s="26" t="s">
        <v>4090</v>
      </c>
      <c r="B18" s="26" t="s">
        <v>4091</v>
      </c>
    </row>
    <row r="19" spans="1:2">
      <c r="A19" s="26" t="s">
        <v>908</v>
      </c>
      <c r="B19" s="26" t="s">
        <v>4092</v>
      </c>
    </row>
    <row r="20" spans="1:2" ht="28.5">
      <c r="A20" s="26" t="s">
        <v>3195</v>
      </c>
      <c r="B20" s="26" t="s">
        <v>4093</v>
      </c>
    </row>
    <row r="21" spans="1:2">
      <c r="A21" s="26" t="s">
        <v>483</v>
      </c>
      <c r="B21" s="26" t="s">
        <v>4094</v>
      </c>
    </row>
    <row r="22" spans="1:2">
      <c r="A22" s="26" t="s">
        <v>683</v>
      </c>
      <c r="B22" s="26" t="s">
        <v>4095</v>
      </c>
    </row>
    <row r="23" spans="1:2">
      <c r="A23" s="26" t="s">
        <v>802</v>
      </c>
      <c r="B23" s="26" t="s">
        <v>4096</v>
      </c>
    </row>
    <row r="24" spans="1:2">
      <c r="A24" s="26" t="s">
        <v>1146</v>
      </c>
      <c r="B24" s="26" t="s">
        <v>4097</v>
      </c>
    </row>
    <row r="25" spans="1:2">
      <c r="A25" s="26" t="s">
        <v>876</v>
      </c>
      <c r="B25" s="26" t="s">
        <v>4098</v>
      </c>
    </row>
    <row r="26" spans="1:2" ht="28.5">
      <c r="A26" s="26" t="s">
        <v>678</v>
      </c>
      <c r="B26" s="26" t="s">
        <v>4099</v>
      </c>
    </row>
    <row r="27" spans="1:2">
      <c r="A27" s="26" t="s">
        <v>606</v>
      </c>
      <c r="B27" s="26" t="s">
        <v>4100</v>
      </c>
    </row>
    <row r="28" spans="1:2">
      <c r="A28" s="26" t="s">
        <v>620</v>
      </c>
      <c r="B28" s="26" t="s">
        <v>4101</v>
      </c>
    </row>
    <row r="29" spans="1:2">
      <c r="A29" s="26" t="s">
        <v>3146</v>
      </c>
      <c r="B29" s="26" t="s">
        <v>4102</v>
      </c>
    </row>
    <row r="30" spans="1:2">
      <c r="A30" s="26" t="s">
        <v>1930</v>
      </c>
      <c r="B30" s="26" t="s">
        <v>4103</v>
      </c>
    </row>
    <row r="31" spans="1:2" ht="28.5">
      <c r="A31" s="26" t="s">
        <v>613</v>
      </c>
      <c r="B31" s="26" t="s">
        <v>4104</v>
      </c>
    </row>
    <row r="32" spans="1:2">
      <c r="A32" s="26" t="s">
        <v>4105</v>
      </c>
      <c r="B32" s="26" t="s">
        <v>4106</v>
      </c>
    </row>
    <row r="33" spans="1:6" ht="28.5">
      <c r="A33" s="26" t="s">
        <v>2537</v>
      </c>
      <c r="B33" s="26" t="s">
        <v>4107</v>
      </c>
    </row>
    <row r="34" spans="1:6">
      <c r="A34" s="26" t="s">
        <v>911</v>
      </c>
      <c r="B34" s="26" t="s">
        <v>4108</v>
      </c>
    </row>
    <row r="35" spans="1:6">
      <c r="A35" s="26" t="s">
        <v>1230</v>
      </c>
      <c r="B35" s="26" t="s">
        <v>4109</v>
      </c>
    </row>
    <row r="36" spans="1:6">
      <c r="A36" s="26" t="s">
        <v>804</v>
      </c>
      <c r="B36" s="26" t="s">
        <v>4110</v>
      </c>
    </row>
    <row r="37" spans="1:6">
      <c r="A37" s="26" t="s">
        <v>3497</v>
      </c>
      <c r="B37" s="26" t="s">
        <v>4111</v>
      </c>
    </row>
    <row r="38" spans="1:6">
      <c r="A38" s="26" t="s">
        <v>448</v>
      </c>
      <c r="B38" s="26" t="s">
        <v>4112</v>
      </c>
    </row>
    <row r="42" spans="1:6" ht="15">
      <c r="A42" s="103" t="s">
        <v>4113</v>
      </c>
      <c r="B42" s="103"/>
      <c r="C42" s="103"/>
      <c r="D42" s="103"/>
      <c r="E42" s="103"/>
      <c r="F42" s="103"/>
    </row>
    <row r="43" spans="1:6">
      <c r="A43" s="104" t="s">
        <v>4114</v>
      </c>
      <c r="B43" s="104"/>
      <c r="C43" s="104"/>
      <c r="D43" s="104"/>
      <c r="E43" s="104"/>
      <c r="F43" s="104"/>
    </row>
    <row r="45" spans="1:6" ht="15">
      <c r="A45" s="40" t="s">
        <v>4115</v>
      </c>
      <c r="B45" s="40" t="s">
        <v>4116</v>
      </c>
      <c r="C45" s="40" t="s">
        <v>4117</v>
      </c>
    </row>
    <row r="46" spans="1:6">
      <c r="A46" s="24" t="s">
        <v>4118</v>
      </c>
      <c r="B46" s="24" t="s">
        <v>4119</v>
      </c>
      <c r="C46" s="41">
        <v>32</v>
      </c>
    </row>
    <row r="47" spans="1:6" ht="28.5">
      <c r="A47" s="24" t="s">
        <v>1802</v>
      </c>
      <c r="B47" s="24" t="s">
        <v>4120</v>
      </c>
      <c r="C47" s="41">
        <v>23</v>
      </c>
    </row>
    <row r="48" spans="1:6" ht="28.5">
      <c r="A48" s="24" t="s">
        <v>4121</v>
      </c>
      <c r="B48" s="24" t="s">
        <v>4122</v>
      </c>
      <c r="C48" s="41">
        <v>37</v>
      </c>
    </row>
    <row r="49" spans="1:6">
      <c r="A49" s="24" t="s">
        <v>604</v>
      </c>
      <c r="B49" s="24" t="s">
        <v>4123</v>
      </c>
      <c r="C49" s="41">
        <v>18</v>
      </c>
    </row>
    <row r="50" spans="1:6">
      <c r="A50" s="24" t="s">
        <v>612</v>
      </c>
      <c r="B50" s="24" t="s">
        <v>4124</v>
      </c>
      <c r="C50" s="41">
        <v>15</v>
      </c>
    </row>
    <row r="51" spans="1:6">
      <c r="A51" s="24" t="s">
        <v>1351</v>
      </c>
      <c r="B51" s="24" t="s">
        <v>4125</v>
      </c>
      <c r="C51" s="41">
        <v>6</v>
      </c>
    </row>
    <row r="52" spans="1:6">
      <c r="A52" s="24" t="s">
        <v>1239</v>
      </c>
      <c r="B52" s="24" t="s">
        <v>4126</v>
      </c>
      <c r="C52" s="41">
        <v>13</v>
      </c>
    </row>
    <row r="53" spans="1:6">
      <c r="A53" s="24" t="s">
        <v>854</v>
      </c>
      <c r="B53" s="24" t="s">
        <v>4127</v>
      </c>
      <c r="C53" s="41">
        <v>11</v>
      </c>
    </row>
    <row r="54" spans="1:6">
      <c r="A54" s="24" t="s">
        <v>521</v>
      </c>
      <c r="B54" s="24" t="s">
        <v>4128</v>
      </c>
      <c r="C54" s="41">
        <v>7</v>
      </c>
    </row>
    <row r="55" spans="1:6">
      <c r="A55" s="24" t="s">
        <v>632</v>
      </c>
      <c r="B55" s="24" t="s">
        <v>4129</v>
      </c>
      <c r="C55" s="41">
        <v>32</v>
      </c>
    </row>
    <row r="56" spans="1:6">
      <c r="A56" s="24" t="s">
        <v>4130</v>
      </c>
      <c r="B56" s="24" t="s">
        <v>4131</v>
      </c>
      <c r="C56" s="41">
        <v>1</v>
      </c>
    </row>
    <row r="57" spans="1:6">
      <c r="A57" s="24" t="s">
        <v>626</v>
      </c>
      <c r="B57" s="24" t="s">
        <v>4132</v>
      </c>
      <c r="C57" s="41">
        <v>30</v>
      </c>
    </row>
    <row r="58" spans="1:6">
      <c r="A58" s="24" t="s">
        <v>4133</v>
      </c>
      <c r="B58" s="24" t="s">
        <v>4134</v>
      </c>
      <c r="C58" s="41">
        <v>7</v>
      </c>
    </row>
    <row r="59" spans="1:6" ht="28.5">
      <c r="A59" s="24" t="s">
        <v>888</v>
      </c>
      <c r="B59" s="24" t="s">
        <v>4135</v>
      </c>
      <c r="C59" s="41">
        <v>83</v>
      </c>
    </row>
    <row r="60" spans="1:6" ht="28.5">
      <c r="A60" s="24" t="s">
        <v>4136</v>
      </c>
      <c r="B60" s="24" t="s">
        <v>4137</v>
      </c>
      <c r="C60" s="41">
        <v>62</v>
      </c>
    </row>
    <row r="62" spans="1:6" ht="15">
      <c r="A62" s="105" t="s">
        <v>4138</v>
      </c>
      <c r="B62" s="105"/>
      <c r="C62" s="105"/>
      <c r="D62" s="105"/>
      <c r="E62" s="105"/>
      <c r="F62" s="105"/>
    </row>
    <row r="63" spans="1:6">
      <c r="A63" s="100" t="s">
        <v>4139</v>
      </c>
      <c r="B63" s="100"/>
      <c r="C63" s="100"/>
      <c r="D63" s="100"/>
      <c r="E63" s="100"/>
      <c r="F63" s="100"/>
    </row>
    <row r="65" spans="1:6" ht="15">
      <c r="A65" s="69" t="s">
        <v>4140</v>
      </c>
      <c r="B65" s="69" t="s">
        <v>52</v>
      </c>
      <c r="C65" s="69" t="s">
        <v>4141</v>
      </c>
    </row>
    <row r="66" spans="1:6">
      <c r="A66" s="70" t="s">
        <v>4142</v>
      </c>
      <c r="B66" s="70" t="s">
        <v>4143</v>
      </c>
      <c r="C66" s="70" t="s">
        <v>4144</v>
      </c>
    </row>
    <row r="67" spans="1:6">
      <c r="A67" s="70" t="s">
        <v>4145</v>
      </c>
      <c r="B67" s="70" t="s">
        <v>4146</v>
      </c>
      <c r="C67" s="70" t="s">
        <v>4147</v>
      </c>
    </row>
    <row r="68" spans="1:6">
      <c r="A68" s="70" t="s">
        <v>4148</v>
      </c>
      <c r="B68" s="70" t="s">
        <v>4149</v>
      </c>
      <c r="C68" s="70" t="s">
        <v>4150</v>
      </c>
    </row>
    <row r="69" spans="1:6">
      <c r="A69" s="70" t="s">
        <v>4151</v>
      </c>
      <c r="B69" s="70" t="s">
        <v>4152</v>
      </c>
      <c r="C69" s="70" t="s">
        <v>4153</v>
      </c>
    </row>
    <row r="74" spans="1:6" ht="15">
      <c r="A74" s="101" t="s">
        <v>4154</v>
      </c>
      <c r="B74" s="101"/>
      <c r="C74" s="101"/>
      <c r="D74" s="101"/>
      <c r="E74" s="101"/>
      <c r="F74" s="101"/>
    </row>
    <row r="75" spans="1:6">
      <c r="A75" s="102" t="s">
        <v>4155</v>
      </c>
      <c r="B75" s="102"/>
      <c r="C75" s="102"/>
      <c r="D75" s="102"/>
      <c r="E75" s="102"/>
      <c r="F75" s="102"/>
    </row>
    <row r="77" spans="1:6" ht="15">
      <c r="A77" s="81" t="s">
        <v>4156</v>
      </c>
      <c r="B77" s="81" t="s">
        <v>24</v>
      </c>
      <c r="C77" s="81" t="s">
        <v>4157</v>
      </c>
    </row>
    <row r="78" spans="1:6">
      <c r="A78" s="82" t="s">
        <v>4158</v>
      </c>
      <c r="B78" s="82" t="s">
        <v>4159</v>
      </c>
      <c r="C78" s="82" t="s">
        <v>4160</v>
      </c>
    </row>
    <row r="79" spans="1:6">
      <c r="A79" s="82" t="s">
        <v>4161</v>
      </c>
      <c r="B79" s="82" t="s">
        <v>4162</v>
      </c>
      <c r="C79" s="82" t="s">
        <v>4163</v>
      </c>
    </row>
    <row r="80" spans="1:6">
      <c r="A80" s="82" t="s">
        <v>4164</v>
      </c>
      <c r="B80" s="82" t="s">
        <v>4165</v>
      </c>
      <c r="C80" s="82" t="s">
        <v>4166</v>
      </c>
    </row>
    <row r="81" spans="1:3">
      <c r="A81" s="82" t="s">
        <v>4167</v>
      </c>
      <c r="B81" s="82" t="s">
        <v>4168</v>
      </c>
      <c r="C81" s="82" t="s">
        <v>4169</v>
      </c>
    </row>
    <row r="82" spans="1:3">
      <c r="A82" s="82" t="s">
        <v>4170</v>
      </c>
      <c r="B82" s="82" t="s">
        <v>4171</v>
      </c>
      <c r="C82" s="82" t="s">
        <v>4172</v>
      </c>
    </row>
    <row r="83" spans="1:3">
      <c r="A83" s="82" t="s">
        <v>4173</v>
      </c>
      <c r="B83" s="82" t="s">
        <v>4174</v>
      </c>
      <c r="C83" s="82" t="s">
        <v>4175</v>
      </c>
    </row>
    <row r="84" spans="1:3">
      <c r="A84" s="82" t="s">
        <v>4176</v>
      </c>
      <c r="B84" s="82" t="s">
        <v>4177</v>
      </c>
      <c r="C84" s="82" t="s">
        <v>4178</v>
      </c>
    </row>
  </sheetData>
  <mergeCells count="8">
    <mergeCell ref="A63:F63"/>
    <mergeCell ref="A74:F74"/>
    <mergeCell ref="A75:F75"/>
    <mergeCell ref="A1:F1"/>
    <mergeCell ref="A2:F2"/>
    <mergeCell ref="A42:F42"/>
    <mergeCell ref="A43:F43"/>
    <mergeCell ref="A62:F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43</vt:i4>
      </vt:variant>
    </vt:vector>
  </HeadingPairs>
  <TitlesOfParts>
    <vt:vector size="43" baseType="lpstr">
      <vt:lpstr>Overview</vt:lpstr>
      <vt:lpstr>1960</vt:lpstr>
      <vt:lpstr>1961</vt:lpstr>
      <vt:lpstr>1962</vt:lpstr>
      <vt:lpstr>1963</vt:lpstr>
      <vt:lpstr>1964</vt:lpstr>
      <vt:lpstr>1965</vt:lpstr>
      <vt:lpstr>1966</vt:lpstr>
      <vt:lpstr>1967</vt:lpstr>
      <vt:lpstr>1968</vt:lpstr>
      <vt:lpstr>1969</vt:lpstr>
      <vt:lpstr>1970</vt:lpstr>
      <vt:lpstr>1971</vt:lpstr>
      <vt:lpstr>1972</vt:lpstr>
      <vt:lpstr>1973</vt:lpstr>
      <vt:lpstr>1974</vt:lpstr>
      <vt:lpstr>1975</vt:lpstr>
      <vt:lpstr>1976</vt:lpstr>
      <vt:lpstr>1977</vt:lpstr>
      <vt:lpstr>1978</vt:lpstr>
      <vt:lpstr>1979</vt:lpstr>
      <vt:lpstr>1980</vt:lpstr>
      <vt:lpstr>1981</vt:lpstr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Pre-1960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</dc:creator>
  <cp:lastModifiedBy>Byron Evans</cp:lastModifiedBy>
  <dcterms:modified xsi:type="dcterms:W3CDTF">2026-08-27T22:54:27Z</dcterms:modified>
</cp:coreProperties>
</file>